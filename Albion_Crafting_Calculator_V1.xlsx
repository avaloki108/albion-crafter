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2be76dacf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da3c57aedee487b"/>
    <x:sheet xmlns:r="http://schemas.openxmlformats.org/officeDocument/2006/relationships" name="Settings" sheetId="2" r:id="R98762c4dcef94322"/>
    <x:sheet xmlns:r="http://schemas.openxmlformats.org/officeDocument/2006/relationships" name="Market Data" sheetId="3" r:id="Rea6a88da7614472c"/>
    <x:sheet xmlns:r="http://schemas.openxmlformats.org/officeDocument/2006/relationships" name="Recipe Lines" sheetId="4" r:id="Rfe2799bc5d6f4af2"/>
    <x:sheet xmlns:r="http://schemas.openxmlformats.org/officeDocument/2006/relationships" name="Craft Scanner" sheetId="5" r:id="R5e096efbfa554e75"/>
    <x:sheet xmlns:r="http://schemas.openxmlformats.org/officeDocument/2006/relationships" name="Sources" sheetId="6" r:id="R11f3a112d2654e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0%"/>
    <x:numFmt numFmtId="202" formatCode="0.00%"/>
    <x:numFmt numFmtId="203" formatCode="#,##0"/>
    <x:numFmt numFmtId="204" formatCode="0.00"/>
    <x:numFmt numFmtId="205" formatCode="#,##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66666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3F3F3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left" vertical="top"/>
    </x:xf>
    <x:xf numFmtId="0" fontId="3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left" vertical="top"/>
    </x:xf>
    <x:xf numFmtId="0" fontId="3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2" fontId="0" fillId="6" borderId="0" xfId="0" applyNumberFormat="1" applyFont="1" applyFill="1" applyBorder="1"/>
    <x:xf numFmtId="202" fontId="0" fillId="6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/>
    </x:xf>
    <x:xf numFmtId="201" fontId="0" fillId="5" borderId="0" xfId="0" applyNumberFormat="1" applyFont="1" applyFill="1" applyBorder="1" applyAlignment="1">
      <x:alignment vertical="center"/>
    </x:xf>
    <x:xf numFmtId="202" fontId="0" fillId="6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/>
    </x:xf>
    <x:xf numFmtId="201" fontId="0" fillId="5" borderId="1" xfId="0" applyNumberFormat="1" applyFont="1" applyFill="1" applyBorder="1" applyAlignment="1">
      <x:alignment vertical="center"/>
    </x:xf>
    <x:xf numFmtId="202" fontId="0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203" fontId="0" fillId="5" borderId="0" xfId="0" applyNumberFormat="1" applyFont="1" applyFill="1" applyBorder="1"/>
    <x:xf numFmtId="203" fontId="0" fillId="5" borderId="1" xfId="0" applyNumberFormat="1" applyFont="1" applyFill="1" applyBorder="1"/>
    <x:xf numFmtId="204" fontId="0" fillId="5" borderId="0" xfId="0" applyNumberFormat="1" applyFont="1" applyFill="1" applyBorder="1"/>
    <x:xf numFmtId="204" fontId="0" fillId="5" borderId="1" xfId="0" applyNumberFormat="1" applyFont="1" applyFill="1" applyBorder="1"/>
    <x:xf numFmtId="205" fontId="0" fillId="5" borderId="0" xfId="0" applyNumberFormat="1" applyFont="1" applyFill="1" applyBorder="1"/>
    <x:xf numFmtId="205" fontId="0" fillId="6" borderId="0" xfId="0" applyNumberFormat="1" applyFont="1" applyFill="1" applyBorder="1"/>
    <x:xf numFmtId="205" fontId="0" fillId="5" borderId="1" xfId="0" applyNumberFormat="1" applyFont="1" applyFill="1" applyBorder="1"/>
    <x:xf numFmtId="205" fontId="0" fillId="6" borderId="1" xfId="0" applyNumberFormat="1" applyFont="1" applyFill="1" applyBorder="1"/>
    <x:xf numFmtId="202" fontId="0" fillId="5" borderId="0" xfId="0" applyNumberFormat="1" applyFont="1" applyFill="1" applyBorder="1"/>
    <x:xf numFmtId="202" fontId="0" fillId="5" borderId="1" xfId="0" applyNumberFormat="1" applyFont="1" applyFill="1" applyBorder="1"/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dd2d336b1e4604" /><Relationship Type="http://schemas.openxmlformats.org/officeDocument/2006/relationships/theme" Target="/xl/theme/theme1.xml" Id="Re3b7309965754072" /><Relationship Type="http://schemas.openxmlformats.org/officeDocument/2006/relationships/sharedStrings" Target="/xl/sharedStrings.xml" Id="R694429ccaa194729" /><Relationship Type="http://schemas.openxmlformats.org/officeDocument/2006/relationships/worksheet" Target="/xl/worksheets/sheet1.xml" Id="Rada3c57aedee487b" /><Relationship Type="http://schemas.openxmlformats.org/officeDocument/2006/relationships/worksheet" Target="/xl/worksheets/sheet2.xml" Id="R98762c4dcef94322" /><Relationship Type="http://schemas.openxmlformats.org/officeDocument/2006/relationships/worksheet" Target="/xl/worksheets/sheet3.xml" Id="Rea6a88da7614472c" /><Relationship Type="http://schemas.openxmlformats.org/officeDocument/2006/relationships/worksheet" Target="/xl/worksheets/sheet4.xml" Id="Rfe2799bc5d6f4af2" /><Relationship Type="http://schemas.openxmlformats.org/officeDocument/2006/relationships/worksheet" Target="/xl/worksheets/sheet5.xml" Id="R5e096efbfa554e75" /><Relationship Type="http://schemas.openxmlformats.org/officeDocument/2006/relationships/worksheet" Target="/xl/worksheets/sheet6.xml" Id="R11f3a112d2654e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4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8" customHeight="1">
      <x:c r="A1" s="22" t="str">
        <x:v>Albion Online Crafting Calculator — V1</x:v>
      </x:c>
      <x:c r="B1" s="22"/>
      <x:c r="C1" s="22"/>
      <x:c r="D1" s="22"/>
      <x:c r="E1" s="22"/>
      <x:c r="F1" s="22"/>
      <x:c r="G1" s="22"/>
      <x:c r="H1" s="22"/>
    </x:row>
    <x:row r="2">
      <x:c r="A2" s="23"/>
      <x:c r="B2" s="23"/>
      <x:c r="C2" s="23"/>
      <x:c r="D2" s="23"/>
      <x:c r="E2" s="23"/>
      <x:c r="F2" s="23"/>
      <x:c r="G2" s="23"/>
      <x:c r="H2" s="23"/>
    </x:row>
    <x:row r="3">
      <x:c r="A3" s="24" t="str">
        <x:v>What this workbook does</x:v>
      </x:c>
      <x:c r="B3" s="24"/>
      <x:c r="C3" s="24"/>
      <x:c r="D3" s="24"/>
      <x:c r="E3" s="24"/>
      <x:c r="F3" s="24"/>
      <x:c r="G3" s="24"/>
      <x:c r="H3" s="24"/>
    </x:row>
    <x:row r="4">
      <x:c r="A4" s="25" t="str">
        <x:v>1</x:v>
      </x:c>
      <x:c r="B4" s="26" t="str">
        <x:v>Paste or type market prices into Market Data.</x:v>
      </x:c>
      <x:c r="C4" s="26" t="str"/>
      <x:c r="D4" s="26" t="str"/>
      <x:c r="E4" s="26" t="str"/>
      <x:c r="F4" s="26" t="str"/>
      <x:c r="G4" s="26" t="str"/>
      <x:c r="H4" s="26" t="str"/>
    </x:row>
    <x:row r="5">
      <x:c r="A5" s="25" t="str">
        <x:v>2</x:v>
      </x:c>
      <x:c r="B5" s="26" t="str">
        <x:v>Add recipe ingredients in Recipe Lines. Mark artifacts/non-returnable inputs as No.</x:v>
      </x:c>
      <x:c r="C5" s="26" t="str"/>
      <x:c r="D5" s="26" t="str"/>
      <x:c r="E5" s="26" t="str"/>
      <x:c r="F5" s="26" t="str"/>
      <x:c r="G5" s="26" t="str"/>
      <x:c r="H5" s="26" t="str"/>
    </x:row>
    <x:row r="6">
      <x:c r="A6" s="25" t="str">
        <x:v>3</x:v>
      </x:c>
      <x:c r="B6" s="26" t="str">
        <x:v>Create one row per craft in Craft Scanner.</x:v>
      </x:c>
      <x:c r="C6" s="26" t="str"/>
      <x:c r="D6" s="26" t="str"/>
      <x:c r="E6" s="26" t="str"/>
      <x:c r="F6" s="26" t="str"/>
      <x:c r="G6" s="26" t="str"/>
      <x:c r="H6" s="26" t="str"/>
    </x:row>
    <x:row r="7">
      <x:c r="A7" s="25" t="str">
        <x:v>4</x:v>
      </x:c>
      <x:c r="B7" s="26" t="str">
        <x:v>The sheet calculates resource return rate, effective material cost, station fee, market fees, profit, margin, ROI, break-even, and silver/focus.</x:v>
      </x:c>
      <x:c r="C7" s="26" t="str"/>
      <x:c r="D7" s="26" t="str"/>
      <x:c r="E7" s="26" t="str"/>
      <x:c r="F7" s="26" t="str"/>
      <x:c r="G7" s="26" t="str"/>
      <x:c r="H7" s="26" t="str"/>
    </x:row>
    <x:row r="8">
      <x:c r="A8" s="25" t="str">
        <x:v>5</x:v>
      </x:c>
      <x:c r="B8" s="26" t="str">
        <x:v>Yellow cells are inputs. Green cells are calculated.</x:v>
      </x:c>
      <x:c r="C8" s="26" t="str"/>
      <x:c r="D8" s="26" t="str"/>
      <x:c r="E8" s="26" t="str"/>
      <x:c r="F8" s="26" t="str"/>
      <x:c r="G8" s="26" t="str"/>
      <x:c r="H8" s="26" t="str"/>
    </x:row>
    <x:row r="9">
      <x:c r="A9" s="25" t="str">
        <x:v>6</x:v>
      </x:c>
      <x:c r="B9" s="26" t="str">
        <x:v>V1 is aimed at gear crafting. Food/potions/refining and quality-EV can be added next.</x:v>
      </x:c>
      <x:c r="C9" s="26" t="str"/>
      <x:c r="D9" s="26" t="str"/>
      <x:c r="E9" s="26" t="str"/>
      <x:c r="F9" s="26" t="str"/>
      <x:c r="G9" s="26" t="str"/>
      <x:c r="H9" s="26" t="str"/>
    </x:row>
    <x:row r="10">
      <x:c r="A10" s="25" t="str">
        <x:v>7</x:v>
      </x:c>
      <x:c r="B10" s="26" t="str">
        <x:v>Market prices are intentionally user-controlled; this avoids stale API data. A live Google Sheets/API layer can be added later.</x:v>
      </x:c>
      <x:c r="C10" s="26" t="str"/>
      <x:c r="D10" s="26" t="str"/>
      <x:c r="E10" s="26" t="str"/>
      <x:c r="F10" s="26" t="str"/>
      <x:c r="G10" s="26" t="str"/>
      <x:c r="H10" s="26" t="str"/>
    </x:row>
    <x:row r="11">
      <x:c r="A11" s="23"/>
      <x:c r="B11" s="23"/>
      <x:c r="C11" s="23"/>
      <x:c r="D11" s="23"/>
      <x:c r="E11" s="23"/>
      <x:c r="F11" s="23"/>
      <x:c r="G11" s="23"/>
      <x:c r="H11" s="23"/>
    </x:row>
    <x:row r="12">
      <x:c r="A12" s="24" t="str">
        <x:v>Core math used</x:v>
      </x:c>
      <x:c r="B12" s="24"/>
      <x:c r="C12" s="24"/>
      <x:c r="D12" s="24"/>
      <x:c r="E12" s="24"/>
      <x:c r="F12" s="24"/>
      <x:c r="G12" s="24"/>
      <x:c r="H12" s="24"/>
    </x:row>
    <x:row r="13">
      <x:c r="A13" s="25" t="str">
        <x:v>Resource return rate (RRR)</x:v>
      </x:c>
      <x:c r="B13" s="26" t="str">
        <x:v>1 − 1 / (1 + total production bonus)</x:v>
      </x:c>
      <x:c r="C13" s="26" t="str"/>
      <x:c r="D13" s="26" t="str"/>
      <x:c r="E13" s="26" t="str"/>
      <x:c r="F13" s="26" t="str"/>
      <x:c r="G13" s="26" t="str"/>
      <x:c r="H13" s="26" t="str"/>
    </x:row>
    <x:row r="14">
      <x:c r="A14" s="25" t="str">
        <x:v>Focus production bonus</x:v>
      </x:c>
      <x:c r="B14" s="26" t="str">
        <x:v>Adds 59 percentage points to production bonus when focus is used.</x:v>
      </x:c>
      <x:c r="C14" s="26" t="str"/>
      <x:c r="D14" s="26" t="str"/>
      <x:c r="E14" s="26" t="str"/>
      <x:c r="F14" s="26" t="str"/>
      <x:c r="G14" s="26" t="str"/>
      <x:c r="H14" s="26" t="str"/>
    </x:row>
    <x:row r="15">
      <x:c r="A15" s="25" t="str">
        <x:v>Effective returnable material cost</x:v>
      </x:c>
      <x:c r="B15" s="26" t="str">
        <x:v>Gross returnable cost × (1 − RRR)</x:v>
      </x:c>
      <x:c r="C15" s="26" t="str"/>
      <x:c r="D15" s="26" t="str"/>
      <x:c r="E15" s="26" t="str"/>
      <x:c r="F15" s="26" t="str"/>
      <x:c r="G15" s="26" t="str"/>
      <x:c r="H15" s="26" t="str"/>
    </x:row>
    <x:row r="16">
      <x:c r="A16" s="25" t="str">
        <x:v>Station usage fee</x:v>
      </x:c>
      <x:c r="B16" s="26" t="str">
        <x:v>Item Value × 0.1125 × station usage fee % (entered as 500% = 5.00)</x:v>
      </x:c>
      <x:c r="C16" s="26" t="str"/>
      <x:c r="D16" s="26" t="str"/>
      <x:c r="E16" s="26" t="str"/>
      <x:c r="F16" s="26" t="str"/>
      <x:c r="G16" s="26" t="str"/>
      <x:c r="H16" s="26" t="str"/>
    </x:row>
    <x:row r="17">
      <x:c r="A17" s="25" t="str">
        <x:v>Sell-order fees</x:v>
      </x:c>
      <x:c r="B17" s="26" t="str">
        <x:v>Setup fee + transaction tax. Instant-sell omits the setup fee.</x:v>
      </x:c>
      <x:c r="C17" s="26" t="str"/>
      <x:c r="D17" s="26" t="str"/>
      <x:c r="E17" s="26" t="str"/>
      <x:c r="F17" s="26" t="str"/>
      <x:c r="G17" s="26" t="str"/>
      <x:c r="H17" s="26" t="str"/>
    </x:row>
    <x:row r="18">
      <x:c r="A18" s="25" t="str">
        <x:v>Focus cost</x:v>
      </x:c>
      <x:c r="B18" s="26" t="str">
        <x:v>Base Focus Cost × 0.5^(Focus Cost Efficiency / 10000)</x:v>
      </x:c>
      <x:c r="C18" s="26" t="str"/>
      <x:c r="D18" s="26" t="str"/>
      <x:c r="E18" s="26" t="str"/>
      <x:c r="F18" s="26" t="str"/>
      <x:c r="G18" s="26" t="str"/>
      <x:c r="H18" s="26" t="str"/>
    </x:row>
    <x:row r="19">
      <x:c r="A19" s="23"/>
      <x:c r="B19" s="23"/>
      <x:c r="C19" s="23"/>
      <x:c r="D19" s="23"/>
      <x:c r="E19" s="23"/>
      <x:c r="F19" s="23"/>
      <x:c r="G19" s="23"/>
      <x:c r="H19" s="23"/>
    </x:row>
    <x:row r="20">
      <x:c r="A20" s="24" t="str">
        <x:v>Important limitations</x:v>
      </x:c>
      <x:c r="B20" s="24"/>
      <x:c r="C20" s="24"/>
      <x:c r="D20" s="24"/>
      <x:c r="E20" s="24"/>
      <x:c r="F20" s="24"/>
      <x:c r="G20" s="24"/>
      <x:c r="H20" s="24"/>
    </x:row>
    <x:row r="21">
      <x:c r="A21" s="23" t="str">
        <x:v>•</x:v>
      </x:c>
      <x:c r="B21" s="26" t="str">
        <x:v>Quality roll probabilities are not modeled in V1. Use Sell Price Override when you want a specific/expected quality price.</x:v>
      </x:c>
      <x:c r="C21" s="26" t="str"/>
      <x:c r="D21" s="26" t="str"/>
      <x:c r="E21" s="26" t="str"/>
      <x:c r="F21" s="26" t="str"/>
      <x:c r="G21" s="26" t="str"/>
      <x:c r="H21" s="26" t="str"/>
    </x:row>
    <x:row r="22">
      <x:c r="A22" s="23" t="str">
        <x:v>•</x:v>
      </x:c>
      <x:c r="B22" s="26" t="str">
        <x:v>Journal income is entered manually per craft because journal fill value depends on what you are crafting and your workflow.</x:v>
      </x:c>
      <x:c r="C22" s="26" t="str"/>
      <x:c r="D22" s="26" t="str"/>
      <x:c r="E22" s="26" t="str"/>
      <x:c r="F22" s="26" t="str"/>
      <x:c r="G22" s="26" t="str"/>
      <x:c r="H22" s="26" t="str"/>
    </x:row>
    <x:row r="23">
      <x:c r="A23" s="23" t="str">
        <x:v>•</x:v>
      </x:c>
      <x:c r="B23" s="26" t="str">
        <x:v>Recipes and prices change; keep Market Data and Recipe Lines under your control.</x:v>
      </x:c>
      <x:c r="C23" s="26" t="str"/>
      <x:c r="D23" s="26" t="str"/>
      <x:c r="E23" s="26" t="str"/>
      <x:c r="F23" s="26" t="str"/>
      <x:c r="G23" s="26" t="str"/>
      <x:c r="H23" s="26" t="str"/>
    </x:row>
    <x:row r="24">
      <x:c r="A24" s="23" t="str">
        <x:v>•</x:v>
      </x:c>
      <x:c r="B24" s="26" t="str">
        <x:v>The calculator separates returnable resources from artifacts/non-returnable inputs so artifacts are never incorrectly refunded.</x:v>
      </x:c>
      <x:c r="C24" s="26" t="str"/>
      <x:c r="D24" s="26" t="str"/>
      <x:c r="E24" s="26" t="str"/>
      <x:c r="F24" s="26" t="str"/>
      <x:c r="G24" s="26" t="str"/>
      <x:c r="H24" s="26" t="str"/>
    </x:row>
    <x:row r="25">
      <x:c r="A25" s="23"/>
      <x:c r="B25" s="23"/>
      <x:c r="C25" s="23"/>
      <x:c r="D25" s="23"/>
      <x:c r="E25" s="23"/>
      <x:c r="F25" s="23"/>
      <x:c r="G25" s="23"/>
      <x:c r="H25" s="23"/>
    </x:row>
    <x:row r="26">
      <x:c r="A26" s="24" t="str">
        <x:v>Fast start</x:v>
      </x:c>
      <x:c r="B26" s="24"/>
      <x:c r="C26" s="24"/>
      <x:c r="D26" s="24"/>
      <x:c r="E26" s="24"/>
      <x:c r="F26" s="24"/>
      <x:c r="G26" s="24"/>
      <x:c r="H26" s="24"/>
    </x:row>
    <x:row r="27">
      <x:c r="A27" s="25" t="str">
        <x:v>A</x:v>
      </x:c>
      <x:c r="B27" s="26" t="str">
        <x:v>Go to Settings and set Premium, default production bonus, focus, and fee assumptions.</x:v>
      </x:c>
      <x:c r="C27" s="26" t="str"/>
      <x:c r="D27" s="26" t="str"/>
      <x:c r="E27" s="26" t="str"/>
      <x:c r="F27" s="26" t="str"/>
      <x:c r="G27" s="26" t="str"/>
      <x:c r="H27" s="26" t="str"/>
    </x:row>
    <x:row r="28">
      <x:c r="A28" s="25" t="str">
        <x:v>B</x:v>
      </x:c>
      <x:c r="B28" s="26" t="str">
        <x:v>Paste prices into Market Data using the same Albion item IDs used in Recipe Lines / Craft Scanner.</x:v>
      </x:c>
      <x:c r="C28" s="26" t="str"/>
      <x:c r="D28" s="26" t="str"/>
      <x:c r="E28" s="26" t="str"/>
      <x:c r="F28" s="26" t="str"/>
      <x:c r="G28" s="26" t="str"/>
      <x:c r="H28" s="26" t="str"/>
    </x:row>
    <x:row r="29">
      <x:c r="A29" s="25" t="str">
        <x:v>C</x:v>
      </x:c>
      <x:c r="B29" s="26" t="str">
        <x:v>Enter each ingredient as a separate Recipe Lines row, sharing the same Craft Key.</x:v>
      </x:c>
      <x:c r="C29" s="26" t="str"/>
      <x:c r="D29" s="26" t="str"/>
      <x:c r="E29" s="26" t="str"/>
      <x:c r="F29" s="26" t="str"/>
      <x:c r="G29" s="26" t="str"/>
      <x:c r="H29" s="26" t="str"/>
    </x:row>
    <x:row r="30">
      <x:c r="A30" s="25" t="str">
        <x:v>D</x:v>
      </x:c>
      <x:c r="B30" s="26" t="str">
        <x:v>Enter that Craft Key in Craft Scanner and fill the yellow row inputs.</x:v>
      </x:c>
      <x:c r="C30" s="26" t="str"/>
      <x:c r="D30" s="26" t="str"/>
      <x:c r="E30" s="26" t="str"/>
      <x:c r="F30" s="26" t="str"/>
      <x:c r="G30" s="26" t="str"/>
      <x:c r="H30" s="26" t="str"/>
    </x:row>
  </x:sheetData>
  <x:mergeCells>
    <x:mergeCell ref="A1:H1"/>
    <x:mergeCell ref="A3:H3"/>
    <x:mergeCell ref="A12:H12"/>
    <x:mergeCell ref="A20:H20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4" max="4" width="38" hidden="0" customWidth="1"/>
    <x:col min="5" max="5" width="34" hidden="0" customWidth="1"/>
  </x:cols>
  <x:sheetData>
    <x:row r="1">
      <x:c r="A1" s="5" t="str">
        <x:v>Global Settings</x:v>
      </x:c>
      <x:c r="B1" s="5"/>
      <x:c r="C1" s="5"/>
      <x:c r="D1" s="5"/>
      <x:c r="E1" s="52"/>
    </x:row>
    <x:row r="2">
      <x:c r="A2" s="52"/>
      <x:c r="B2" s="52"/>
      <x:c r="C2" s="52"/>
      <x:c r="D2" s="52"/>
      <x:c r="E2" s="52"/>
    </x:row>
    <x:row r="3">
      <x:c r="A3" s="36" t="str">
        <x:v>Setting</x:v>
      </x:c>
      <x:c r="B3" s="36" t="str">
        <x:v>Value</x:v>
      </x:c>
      <x:c r="C3" s="52"/>
      <x:c r="D3" s="36" t="str">
        <x:v>Reference</x:v>
      </x:c>
      <x:c r="E3" s="36" t="str">
        <x:v>Current rule</x:v>
      </x:c>
    </x:row>
    <x:row r="4">
      <x:c r="A4" s="52" t="str">
        <x:v>Server</x:v>
      </x:c>
      <x:c r="B4" s="53" t="str">
        <x:v>Americas</x:v>
      </x:c>
      <x:c r="C4" s="52"/>
      <x:c r="D4" s="54" t="str">
        <x:v>Royal city baseline production bonus</x:v>
      </x:c>
      <x:c r="E4" s="54" t="str">
        <x:v>18%</x:v>
      </x:c>
    </x:row>
    <x:row r="5">
      <x:c r="A5" s="52" t="str">
        <x:v>Premium?</x:v>
      </x:c>
      <x:c r="B5" s="53" t="str">
        <x:v>Yes</x:v>
      </x:c>
      <x:c r="C5" s="52"/>
      <x:c r="D5" s="54" t="str">
        <x:v>Matching Royal city crafting specialization</x:v>
      </x:c>
      <x:c r="E5" s="54" t="str">
        <x:v>+15%</x:v>
      </x:c>
    </x:row>
    <x:row r="6">
      <x:c r="A6" s="52" t="str">
        <x:v>Default Craft City</x:v>
      </x:c>
      <x:c r="B6" s="53" t="str">
        <x:v>Bridgewatch</x:v>
      </x:c>
      <x:c r="C6" s="52"/>
      <x:c r="D6" s="54" t="str">
        <x:v>Matching Royal city total before daily/focus</x:v>
      </x:c>
      <x:c r="E6" s="54" t="str">
        <x:v>33%</x:v>
      </x:c>
    </x:row>
    <x:row r="7">
      <x:c r="A7" s="52" t="str">
        <x:v>Default Sell City</x:v>
      </x:c>
      <x:c r="B7" s="53" t="str">
        <x:v>Bridgewatch</x:v>
      </x:c>
      <x:c r="C7" s="52"/>
      <x:c r="D7" s="54" t="str">
        <x:v>Daily crafting bonus</x:v>
      </x:c>
      <x:c r="E7" s="54" t="str">
        <x:v>+10% or +20% when active</x:v>
      </x:c>
    </x:row>
    <x:row r="8">
      <x:c r="A8" s="52" t="str">
        <x:v>Default Local Production Bonus</x:v>
      </x:c>
      <x:c r="B8" s="55" t="n">
        <x:v>0.33</x:v>
      </x:c>
      <x:c r="C8" s="52"/>
      <x:c r="D8" s="54" t="str">
        <x:v>Focus production bonus</x:v>
      </x:c>
      <x:c r="E8" s="54" t="str">
        <x:v>+59%</x:v>
      </x:c>
    </x:row>
    <x:row r="9">
      <x:c r="A9" s="52" t="str">
        <x:v>Default Daily Crafting Bonus</x:v>
      </x:c>
      <x:c r="B9" s="55" t="n">
        <x:v>0</x:v>
      </x:c>
      <x:c r="C9" s="52"/>
      <x:c r="D9" s="54" t="str">
        <x:v>Premium focus regeneration</x:v>
      </x:c>
      <x:c r="E9" s="54" t="str">
        <x:v>10,000 / 24h, 30,000 cap</x:v>
      </x:c>
    </x:row>
    <x:row r="10">
      <x:c r="A10" s="52" t="str">
        <x:v>Default Use Focus</x:v>
      </x:c>
      <x:c r="B10" s="53" t="str">
        <x:v>Yes</x:v>
      </x:c>
      <x:c r="C10" s="52"/>
      <x:c r="D10" s="54" t="str">
        <x:v>Quality</x:v>
      </x:c>
      <x:c r="E10" s="54" t="str">
        <x:v>Not modeled in V1</x:v>
      </x:c>
    </x:row>
    <x:row r="11">
      <x:c r="A11" s="52" t="str">
        <x:v>Focus Production Bonus</x:v>
      </x:c>
      <x:c r="B11" s="55" t="n">
        <x:v>0.59</x:v>
      </x:c>
      <x:c r="C11" s="52"/>
      <x:c r="D11" s="52"/>
      <x:c r="E11" s="52"/>
    </x:row>
    <x:row r="12">
      <x:c r="A12" s="52" t="str">
        <x:v>Default Station Usage Fee</x:v>
      </x:c>
      <x:c r="B12" s="56" t="n">
        <x:v>5</x:v>
      </x:c>
      <x:c r="C12" s="52"/>
      <x:c r="D12" s="52"/>
      <x:c r="E12" s="52"/>
    </x:row>
    <x:row r="13">
      <x:c r="A13" s="52" t="str">
        <x:v>Sell Order Setup Fee</x:v>
      </x:c>
      <x:c r="B13" s="55" t="n">
        <x:v>0.025</x:v>
      </x:c>
      <x:c r="C13" s="52"/>
      <x:c r="D13" s="52"/>
      <x:c r="E13" s="52"/>
    </x:row>
    <x:row r="14">
      <x:c r="A14" s="52" t="str">
        <x:v>Premium Transaction Tax</x:v>
      </x:c>
      <x:c r="B14" s="55" t="n">
        <x:v>0.04</x:v>
      </x:c>
      <x:c r="C14" s="52"/>
      <x:c r="D14" s="52"/>
      <x:c r="E14" s="52"/>
    </x:row>
    <x:row r="15">
      <x:c r="A15" s="52" t="str">
        <x:v>Non-Premium Transaction Tax</x:v>
      </x:c>
      <x:c r="B15" s="55" t="n">
        <x:v>0.08</x:v>
      </x:c>
      <x:c r="C15" s="52"/>
      <x:c r="D15" s="52"/>
      <x:c r="E15" s="52"/>
    </x:row>
    <x:row r="16">
      <x:c r="A16" s="52" t="str">
        <x:v>Buy Order Setup Fee</x:v>
      </x:c>
      <x:c r="B16" s="55" t="n">
        <x:v>0.025</x:v>
      </x:c>
      <x:c r="C16" s="52"/>
      <x:c r="D16" s="52"/>
      <x:c r="E16" s="52"/>
    </x:row>
    <x:row r="17">
      <x:c r="A17" s="52"/>
      <x:c r="B17" s="52"/>
      <x:c r="C17" s="52"/>
      <x:c r="D17" s="52"/>
      <x:c r="E17" s="52"/>
    </x:row>
    <x:row r="18">
      <x:c r="A18" s="36" t="str">
        <x:v>Calculated</x:v>
      </x:c>
      <x:c r="B18" s="36" t="str">
        <x:v>Value</x:v>
      </x:c>
      <x:c r="C18" s="52"/>
      <x:c r="D18" s="52"/>
      <x:c r="E18" s="52"/>
    </x:row>
    <x:row r="19">
      <x:c r="A19" s="52" t="str">
        <x:v>Selected Transaction Tax</x:v>
      </x:c>
      <x:c r="B19" s="57" t="n">
        <x:f>IF(B5="Yes",B14,B15)</x:f>
        <x:v>0.04</x:v>
      </x:c>
      <x:c r="C19" s="52"/>
      <x:c r="D19" s="52"/>
      <x:c r="E19" s="52"/>
    </x:row>
    <x:row r="20">
      <x:c r="A20" s="52" t="str">
        <x:v>Default Total Production Bonus</x:v>
      </x:c>
      <x:c r="B20" s="57" t="n">
        <x:f>B8+B9+IF(B10="Yes",B11,0)</x:f>
        <x:v>0.9199999999999999</x:v>
      </x:c>
      <x:c r="C20" s="52"/>
      <x:c r="D20" s="52"/>
      <x:c r="E20" s="52"/>
    </x:row>
    <x:row r="21">
      <x:c r="A21" s="52" t="str">
        <x:v>Default RRR</x:v>
      </x:c>
      <x:c r="B21" s="57" t="n">
        <x:f>1-1/(1+B20)</x:f>
        <x:v>0.47916666666666663</x:v>
      </x:c>
      <x:c r="C21" s="52"/>
      <x:c r="D21" s="52"/>
      <x:c r="E21" s="52"/>
    </x:row>
    <x:row r="22">
      <x:c r="A22" s="52" t="str">
        <x:v>Default RRR without Focus</x:v>
      </x:c>
      <x:c r="B22" s="57" t="n">
        <x:f>1-1/(1+B8+B9)</x:f>
        <x:v>0.24812030075187974</x:v>
      </x:c>
      <x:c r="C22" s="52"/>
      <x:c r="D22" s="52"/>
      <x:c r="E22" s="52"/>
    </x:row>
    <x:row r="23">
      <x:c r="A23" s="52" t="str">
        <x:v>Default RRR with Focus</x:v>
      </x:c>
      <x:c r="B23" s="57" t="n">
        <x:f>1-1/(1+B8+B9+B11)</x:f>
        <x:v>0.47916666666666663</x:v>
      </x:c>
      <x:c r="C23" s="52"/>
      <x:c r="D23" s="52"/>
      <x:c r="E23" s="52"/>
    </x:row>
  </x:sheetData>
  <x:mergeCells>
    <x:mergeCell ref="A1:D1"/>
  </x:mergeCells>
  <x:dataValidations count="3">
    <x:dataValidation type="list" sqref="B4">
      <x:formula1>"Americas,Europe,Asia"</x:formula1>
    </x:dataValidation>
    <x:dataValidation type="list" sqref="B5">
      <x:formula1>"Yes,No"</x:formula1>
    </x:dataValidation>
    <x:dataValidation type="list" sqref="B10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32" hidden="0" customWidth="1"/>
    <x:col min="4" max="4" width="10" hidden="0" customWidth="1"/>
    <x:col min="5" max="5" width="16" hidden="0" customWidth="1"/>
    <x:col min="6" max="6" width="16" hidden="0" customWidth="1"/>
    <x:col min="7" max="7" width="22" hidden="0" customWidth="1"/>
    <x:col min="8" max="8" width="22" hidden="0" customWidth="1"/>
    <x:col min="9" max="9" width="40" hidden="0" customWidth="1"/>
  </x:cols>
  <x:sheetData>
    <x:row r="1">
      <x:c r="A1" s="5" t="str">
        <x:v>Market Data — paste prices here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65" t="str">
        <x:v>Use one row per Location + Item ID + Quality. Sell Price Min = cheapest sell order; Buy Price Max = highest buy order.</x:v>
      </x:c>
      <x:c r="B2" s="65"/>
      <x:c r="C2" s="65"/>
      <x:c r="D2" s="65"/>
      <x:c r="E2" s="65"/>
      <x:c r="F2" s="65"/>
      <x:c r="G2" s="65"/>
      <x:c r="H2" s="65"/>
      <x:c r="I2" s="65"/>
    </x:row>
    <x:row r="4" ht="30" customHeight="1">
      <x:c r="A4" s="36" t="str">
        <x:v>Location</x:v>
      </x:c>
      <x:c r="B4" s="36" t="str">
        <x:v>Item ID</x:v>
      </x:c>
      <x:c r="C4" s="36" t="str">
        <x:v>Item Name</x:v>
      </x:c>
      <x:c r="D4" s="36" t="str">
        <x:v>Quality</x:v>
      </x:c>
      <x:c r="E4" s="36" t="str">
        <x:v>Sell Price Min</x:v>
      </x:c>
      <x:c r="F4" s="36" t="str">
        <x:v>Buy Price Max</x:v>
      </x:c>
      <x:c r="G4" s="36" t="str">
        <x:v>Sell Data Time</x:v>
      </x:c>
      <x:c r="H4" s="36" t="str">
        <x:v>Buy Data Time</x:v>
      </x:c>
      <x:c r="I4" s="36" t="str">
        <x:v>Source / Notes</x:v>
      </x:c>
    </x:row>
    <x:row r="5">
      <x:c r="A5" s="42"/>
      <x:c r="B5" s="42"/>
      <x:c r="C5" s="42"/>
      <x:c r="D5" s="42"/>
      <x:c r="E5" s="68"/>
      <x:c r="F5" s="68"/>
      <x:c r="G5" s="42"/>
      <x:c r="H5" s="42"/>
      <x:c r="I5" s="42"/>
    </x:row>
    <x:row r="6">
      <x:c r="A6" s="42"/>
      <x:c r="B6" s="42"/>
      <x:c r="C6" s="42"/>
      <x:c r="D6" s="42"/>
      <x:c r="E6" s="68"/>
      <x:c r="F6" s="68"/>
      <x:c r="G6" s="42"/>
      <x:c r="H6" s="42"/>
      <x:c r="I6" s="42"/>
    </x:row>
    <x:row r="7">
      <x:c r="A7" s="42"/>
      <x:c r="B7" s="42"/>
      <x:c r="C7" s="42"/>
      <x:c r="D7" s="42"/>
      <x:c r="E7" s="68"/>
      <x:c r="F7" s="68"/>
      <x:c r="G7" s="42"/>
      <x:c r="H7" s="42"/>
      <x:c r="I7" s="42"/>
    </x:row>
    <x:row r="8">
      <x:c r="A8" s="42"/>
      <x:c r="B8" s="42"/>
      <x:c r="C8" s="42"/>
      <x:c r="D8" s="42"/>
      <x:c r="E8" s="68"/>
      <x:c r="F8" s="68"/>
      <x:c r="G8" s="42"/>
      <x:c r="H8" s="42"/>
      <x:c r="I8" s="42"/>
    </x:row>
    <x:row r="9">
      <x:c r="A9" s="42"/>
      <x:c r="B9" s="42"/>
      <x:c r="C9" s="42"/>
      <x:c r="D9" s="42"/>
      <x:c r="E9" s="68"/>
      <x:c r="F9" s="68"/>
      <x:c r="G9" s="42"/>
      <x:c r="H9" s="42"/>
      <x:c r="I9" s="42"/>
    </x:row>
    <x:row r="10">
      <x:c r="A10" s="42"/>
      <x:c r="B10" s="42"/>
      <x:c r="C10" s="42"/>
      <x:c r="D10" s="42"/>
      <x:c r="E10" s="68"/>
      <x:c r="F10" s="68"/>
      <x:c r="G10" s="42"/>
      <x:c r="H10" s="42"/>
      <x:c r="I10" s="42"/>
    </x:row>
    <x:row r="11">
      <x:c r="A11" s="42"/>
      <x:c r="B11" s="42"/>
      <x:c r="C11" s="42"/>
      <x:c r="D11" s="42"/>
      <x:c r="E11" s="68"/>
      <x:c r="F11" s="68"/>
      <x:c r="G11" s="42"/>
      <x:c r="H11" s="42"/>
      <x:c r="I11" s="42"/>
    </x:row>
    <x:row r="12">
      <x:c r="A12" s="42"/>
      <x:c r="B12" s="42"/>
      <x:c r="C12" s="42"/>
      <x:c r="D12" s="42"/>
      <x:c r="E12" s="68"/>
      <x:c r="F12" s="68"/>
      <x:c r="G12" s="42"/>
      <x:c r="H12" s="42"/>
      <x:c r="I12" s="42"/>
    </x:row>
    <x:row r="13">
      <x:c r="A13" s="42"/>
      <x:c r="B13" s="42"/>
      <x:c r="C13" s="42"/>
      <x:c r="D13" s="42"/>
      <x:c r="E13" s="68"/>
      <x:c r="F13" s="68"/>
      <x:c r="G13" s="42"/>
      <x:c r="H13" s="42"/>
      <x:c r="I13" s="42"/>
    </x:row>
    <x:row r="14">
      <x:c r="A14" s="42"/>
      <x:c r="B14" s="42"/>
      <x:c r="C14" s="42"/>
      <x:c r="D14" s="42"/>
      <x:c r="E14" s="68"/>
      <x:c r="F14" s="68"/>
      <x:c r="G14" s="42"/>
      <x:c r="H14" s="42"/>
      <x:c r="I14" s="42"/>
    </x:row>
    <x:row r="15">
      <x:c r="A15" s="42"/>
      <x:c r="B15" s="42"/>
      <x:c r="C15" s="42"/>
      <x:c r="D15" s="42"/>
      <x:c r="E15" s="68"/>
      <x:c r="F15" s="68"/>
      <x:c r="G15" s="42"/>
      <x:c r="H15" s="42"/>
      <x:c r="I15" s="42"/>
    </x:row>
    <x:row r="16">
      <x:c r="A16" s="42"/>
      <x:c r="B16" s="42"/>
      <x:c r="C16" s="42"/>
      <x:c r="D16" s="42"/>
      <x:c r="E16" s="68"/>
      <x:c r="F16" s="68"/>
      <x:c r="G16" s="42"/>
      <x:c r="H16" s="42"/>
      <x:c r="I16" s="42"/>
    </x:row>
    <x:row r="17">
      <x:c r="A17" s="42"/>
      <x:c r="B17" s="42"/>
      <x:c r="C17" s="42"/>
      <x:c r="D17" s="42"/>
      <x:c r="E17" s="68"/>
      <x:c r="F17" s="68"/>
      <x:c r="G17" s="42"/>
      <x:c r="H17" s="42"/>
      <x:c r="I17" s="42"/>
    </x:row>
    <x:row r="18">
      <x:c r="A18" s="42"/>
      <x:c r="B18" s="42"/>
      <x:c r="C18" s="42"/>
      <x:c r="D18" s="42"/>
      <x:c r="E18" s="68"/>
      <x:c r="F18" s="68"/>
      <x:c r="G18" s="42"/>
      <x:c r="H18" s="42"/>
      <x:c r="I18" s="42"/>
    </x:row>
    <x:row r="19">
      <x:c r="A19" s="42"/>
      <x:c r="B19" s="42"/>
      <x:c r="C19" s="42"/>
      <x:c r="D19" s="42"/>
      <x:c r="E19" s="68"/>
      <x:c r="F19" s="68"/>
      <x:c r="G19" s="42"/>
      <x:c r="H19" s="42"/>
      <x:c r="I19" s="42"/>
    </x:row>
    <x:row r="20">
      <x:c r="A20" s="42"/>
      <x:c r="B20" s="42"/>
      <x:c r="C20" s="42"/>
      <x:c r="D20" s="42"/>
      <x:c r="E20" s="68"/>
      <x:c r="F20" s="68"/>
      <x:c r="G20" s="42"/>
      <x:c r="H20" s="42"/>
      <x:c r="I20" s="42"/>
    </x:row>
    <x:row r="21">
      <x:c r="A21" s="42"/>
      <x:c r="B21" s="42"/>
      <x:c r="C21" s="42"/>
      <x:c r="D21" s="42"/>
      <x:c r="E21" s="68"/>
      <x:c r="F21" s="68"/>
      <x:c r="G21" s="42"/>
      <x:c r="H21" s="42"/>
      <x:c r="I21" s="42"/>
    </x:row>
    <x:row r="22">
      <x:c r="A22" s="42"/>
      <x:c r="B22" s="42"/>
      <x:c r="C22" s="42"/>
      <x:c r="D22" s="42"/>
      <x:c r="E22" s="68"/>
      <x:c r="F22" s="68"/>
      <x:c r="G22" s="42"/>
      <x:c r="H22" s="42"/>
      <x:c r="I22" s="42"/>
    </x:row>
    <x:row r="23">
      <x:c r="A23" s="42"/>
      <x:c r="B23" s="42"/>
      <x:c r="C23" s="42"/>
      <x:c r="D23" s="42"/>
      <x:c r="E23" s="68"/>
      <x:c r="F23" s="68"/>
      <x:c r="G23" s="42"/>
      <x:c r="H23" s="42"/>
      <x:c r="I23" s="42"/>
    </x:row>
    <x:row r="24">
      <x:c r="A24" s="42"/>
      <x:c r="B24" s="42"/>
      <x:c r="C24" s="42"/>
      <x:c r="D24" s="42"/>
      <x:c r="E24" s="68"/>
      <x:c r="F24" s="68"/>
      <x:c r="G24" s="42"/>
      <x:c r="H24" s="42"/>
      <x:c r="I24" s="42"/>
    </x:row>
    <x:row r="25">
      <x:c r="A25" s="42"/>
      <x:c r="B25" s="42"/>
      <x:c r="C25" s="42"/>
      <x:c r="D25" s="42"/>
      <x:c r="E25" s="68"/>
      <x:c r="F25" s="68"/>
      <x:c r="G25" s="42"/>
      <x:c r="H25" s="42"/>
      <x:c r="I25" s="42"/>
    </x:row>
    <x:row r="26">
      <x:c r="A26" s="42"/>
      <x:c r="B26" s="42"/>
      <x:c r="C26" s="42"/>
      <x:c r="D26" s="42"/>
      <x:c r="E26" s="68"/>
      <x:c r="F26" s="68"/>
      <x:c r="G26" s="42"/>
      <x:c r="H26" s="42"/>
      <x:c r="I26" s="42"/>
    </x:row>
    <x:row r="27">
      <x:c r="A27" s="42"/>
      <x:c r="B27" s="42"/>
      <x:c r="C27" s="42"/>
      <x:c r="D27" s="42"/>
      <x:c r="E27" s="68"/>
      <x:c r="F27" s="68"/>
      <x:c r="G27" s="42"/>
      <x:c r="H27" s="42"/>
      <x:c r="I27" s="42"/>
    </x:row>
    <x:row r="28">
      <x:c r="A28" s="42"/>
      <x:c r="B28" s="42"/>
      <x:c r="C28" s="42"/>
      <x:c r="D28" s="42"/>
      <x:c r="E28" s="68"/>
      <x:c r="F28" s="68"/>
      <x:c r="G28" s="42"/>
      <x:c r="H28" s="42"/>
      <x:c r="I28" s="42"/>
    </x:row>
    <x:row r="29">
      <x:c r="A29" s="42"/>
      <x:c r="B29" s="42"/>
      <x:c r="C29" s="42"/>
      <x:c r="D29" s="42"/>
      <x:c r="E29" s="68"/>
      <x:c r="F29" s="68"/>
      <x:c r="G29" s="42"/>
      <x:c r="H29" s="42"/>
      <x:c r="I29" s="42"/>
    </x:row>
    <x:row r="30">
      <x:c r="A30" s="42"/>
      <x:c r="B30" s="42"/>
      <x:c r="C30" s="42"/>
      <x:c r="D30" s="42"/>
      <x:c r="E30" s="68"/>
      <x:c r="F30" s="68"/>
      <x:c r="G30" s="42"/>
      <x:c r="H30" s="42"/>
      <x:c r="I30" s="42"/>
    </x:row>
    <x:row r="31">
      <x:c r="A31" s="42"/>
      <x:c r="B31" s="42"/>
      <x:c r="C31" s="42"/>
      <x:c r="D31" s="42"/>
      <x:c r="E31" s="68"/>
      <x:c r="F31" s="68"/>
      <x:c r="G31" s="42"/>
      <x:c r="H31" s="42"/>
      <x:c r="I31" s="42"/>
    </x:row>
    <x:row r="32">
      <x:c r="A32" s="42"/>
      <x:c r="B32" s="42"/>
      <x:c r="C32" s="42"/>
      <x:c r="D32" s="42"/>
      <x:c r="E32" s="68"/>
      <x:c r="F32" s="68"/>
      <x:c r="G32" s="42"/>
      <x:c r="H32" s="42"/>
      <x:c r="I32" s="42"/>
    </x:row>
    <x:row r="33">
      <x:c r="A33" s="42"/>
      <x:c r="B33" s="42"/>
      <x:c r="C33" s="42"/>
      <x:c r="D33" s="42"/>
      <x:c r="E33" s="68"/>
      <x:c r="F33" s="68"/>
      <x:c r="G33" s="42"/>
      <x:c r="H33" s="42"/>
      <x:c r="I33" s="42"/>
    </x:row>
    <x:row r="34">
      <x:c r="A34" s="42"/>
      <x:c r="B34" s="42"/>
      <x:c r="C34" s="42"/>
      <x:c r="D34" s="42"/>
      <x:c r="E34" s="68"/>
      <x:c r="F34" s="68"/>
      <x:c r="G34" s="42"/>
      <x:c r="H34" s="42"/>
      <x:c r="I34" s="42"/>
    </x:row>
    <x:row r="35">
      <x:c r="A35" s="42"/>
      <x:c r="B35" s="42"/>
      <x:c r="C35" s="42"/>
      <x:c r="D35" s="42"/>
      <x:c r="E35" s="68"/>
      <x:c r="F35" s="68"/>
      <x:c r="G35" s="42"/>
      <x:c r="H35" s="42"/>
      <x:c r="I35" s="42"/>
    </x:row>
    <x:row r="36">
      <x:c r="A36" s="42"/>
      <x:c r="B36" s="42"/>
      <x:c r="C36" s="42"/>
      <x:c r="D36" s="42"/>
      <x:c r="E36" s="68"/>
      <x:c r="F36" s="68"/>
      <x:c r="G36" s="42"/>
      <x:c r="H36" s="42"/>
      <x:c r="I36" s="42"/>
    </x:row>
    <x:row r="37">
      <x:c r="A37" s="42"/>
      <x:c r="B37" s="42"/>
      <x:c r="C37" s="42"/>
      <x:c r="D37" s="42"/>
      <x:c r="E37" s="68"/>
      <x:c r="F37" s="68"/>
      <x:c r="G37" s="42"/>
      <x:c r="H37" s="42"/>
      <x:c r="I37" s="42"/>
    </x:row>
    <x:row r="38">
      <x:c r="A38" s="42"/>
      <x:c r="B38" s="42"/>
      <x:c r="C38" s="42"/>
      <x:c r="D38" s="42"/>
      <x:c r="E38" s="68"/>
      <x:c r="F38" s="68"/>
      <x:c r="G38" s="42"/>
      <x:c r="H38" s="42"/>
      <x:c r="I38" s="42"/>
    </x:row>
    <x:row r="39">
      <x:c r="A39" s="42"/>
      <x:c r="B39" s="42"/>
      <x:c r="C39" s="42"/>
      <x:c r="D39" s="42"/>
      <x:c r="E39" s="68"/>
      <x:c r="F39" s="68"/>
      <x:c r="G39" s="42"/>
      <x:c r="H39" s="42"/>
      <x:c r="I39" s="42"/>
    </x:row>
    <x:row r="40">
      <x:c r="A40" s="42"/>
      <x:c r="B40" s="42"/>
      <x:c r="C40" s="42"/>
      <x:c r="D40" s="42"/>
      <x:c r="E40" s="68"/>
      <x:c r="F40" s="68"/>
      <x:c r="G40" s="42"/>
      <x:c r="H40" s="42"/>
      <x:c r="I40" s="42"/>
    </x:row>
    <x:row r="41">
      <x:c r="A41" s="42"/>
      <x:c r="B41" s="42"/>
      <x:c r="C41" s="42"/>
      <x:c r="D41" s="42"/>
      <x:c r="E41" s="68"/>
      <x:c r="F41" s="68"/>
      <x:c r="G41" s="42"/>
      <x:c r="H41" s="42"/>
      <x:c r="I41" s="42"/>
    </x:row>
    <x:row r="42">
      <x:c r="A42" s="42"/>
      <x:c r="B42" s="42"/>
      <x:c r="C42" s="42"/>
      <x:c r="D42" s="42"/>
      <x:c r="E42" s="68"/>
      <x:c r="F42" s="68"/>
      <x:c r="G42" s="42"/>
      <x:c r="H42" s="42"/>
      <x:c r="I42" s="42"/>
    </x:row>
    <x:row r="43">
      <x:c r="A43" s="42"/>
      <x:c r="B43" s="42"/>
      <x:c r="C43" s="42"/>
      <x:c r="D43" s="42"/>
      <x:c r="E43" s="68"/>
      <x:c r="F43" s="68"/>
      <x:c r="G43" s="42"/>
      <x:c r="H43" s="42"/>
      <x:c r="I43" s="42"/>
    </x:row>
    <x:row r="44">
      <x:c r="A44" s="42"/>
      <x:c r="B44" s="42"/>
      <x:c r="C44" s="42"/>
      <x:c r="D44" s="42"/>
      <x:c r="E44" s="68"/>
      <x:c r="F44" s="68"/>
      <x:c r="G44" s="42"/>
      <x:c r="H44" s="42"/>
      <x:c r="I44" s="42"/>
    </x:row>
    <x:row r="45">
      <x:c r="A45" s="42"/>
      <x:c r="B45" s="42"/>
      <x:c r="C45" s="42"/>
      <x:c r="D45" s="42"/>
      <x:c r="E45" s="68"/>
      <x:c r="F45" s="68"/>
      <x:c r="G45" s="42"/>
      <x:c r="H45" s="42"/>
      <x:c r="I45" s="42"/>
    </x:row>
    <x:row r="46">
      <x:c r="A46" s="42"/>
      <x:c r="B46" s="42"/>
      <x:c r="C46" s="42"/>
      <x:c r="D46" s="42"/>
      <x:c r="E46" s="68"/>
      <x:c r="F46" s="68"/>
      <x:c r="G46" s="42"/>
      <x:c r="H46" s="42"/>
      <x:c r="I46" s="42"/>
    </x:row>
    <x:row r="47">
      <x:c r="A47" s="42"/>
      <x:c r="B47" s="42"/>
      <x:c r="C47" s="42"/>
      <x:c r="D47" s="42"/>
      <x:c r="E47" s="68"/>
      <x:c r="F47" s="68"/>
      <x:c r="G47" s="42"/>
      <x:c r="H47" s="42"/>
      <x:c r="I47" s="42"/>
    </x:row>
    <x:row r="48">
      <x:c r="A48" s="42"/>
      <x:c r="B48" s="42"/>
      <x:c r="C48" s="42"/>
      <x:c r="D48" s="42"/>
      <x:c r="E48" s="68"/>
      <x:c r="F48" s="68"/>
      <x:c r="G48" s="42"/>
      <x:c r="H48" s="42"/>
      <x:c r="I48" s="42"/>
    </x:row>
    <x:row r="49">
      <x:c r="A49" s="42"/>
      <x:c r="B49" s="42"/>
      <x:c r="C49" s="42"/>
      <x:c r="D49" s="42"/>
      <x:c r="E49" s="68"/>
      <x:c r="F49" s="68"/>
      <x:c r="G49" s="42"/>
      <x:c r="H49" s="42"/>
      <x:c r="I49" s="42"/>
    </x:row>
    <x:row r="50">
      <x:c r="A50" s="42"/>
      <x:c r="B50" s="42"/>
      <x:c r="C50" s="42"/>
      <x:c r="D50" s="42"/>
      <x:c r="E50" s="68"/>
      <x:c r="F50" s="68"/>
      <x:c r="G50" s="42"/>
      <x:c r="H50" s="42"/>
      <x:c r="I50" s="42"/>
    </x:row>
    <x:row r="51">
      <x:c r="A51" s="42"/>
      <x:c r="B51" s="42"/>
      <x:c r="C51" s="42"/>
      <x:c r="D51" s="42"/>
      <x:c r="E51" s="68"/>
      <x:c r="F51" s="68"/>
      <x:c r="G51" s="42"/>
      <x:c r="H51" s="42"/>
      <x:c r="I51" s="42"/>
    </x:row>
    <x:row r="52">
      <x:c r="A52" s="42"/>
      <x:c r="B52" s="42"/>
      <x:c r="C52" s="42"/>
      <x:c r="D52" s="42"/>
      <x:c r="E52" s="68"/>
      <x:c r="F52" s="68"/>
      <x:c r="G52" s="42"/>
      <x:c r="H52" s="42"/>
      <x:c r="I52" s="42"/>
    </x:row>
    <x:row r="53">
      <x:c r="A53" s="42"/>
      <x:c r="B53" s="42"/>
      <x:c r="C53" s="42"/>
      <x:c r="D53" s="42"/>
      <x:c r="E53" s="68"/>
      <x:c r="F53" s="68"/>
      <x:c r="G53" s="42"/>
      <x:c r="H53" s="42"/>
      <x:c r="I53" s="42"/>
    </x:row>
    <x:row r="54">
      <x:c r="A54" s="42"/>
      <x:c r="B54" s="42"/>
      <x:c r="C54" s="42"/>
      <x:c r="D54" s="42"/>
      <x:c r="E54" s="68"/>
      <x:c r="F54" s="68"/>
      <x:c r="G54" s="42"/>
      <x:c r="H54" s="42"/>
      <x:c r="I54" s="42"/>
    </x:row>
    <x:row r="55">
      <x:c r="A55" s="42"/>
      <x:c r="B55" s="42"/>
      <x:c r="C55" s="42"/>
      <x:c r="D55" s="42"/>
      <x:c r="E55" s="68"/>
      <x:c r="F55" s="68"/>
      <x:c r="G55" s="42"/>
      <x:c r="H55" s="42"/>
      <x:c r="I55" s="42"/>
    </x:row>
    <x:row r="56">
      <x:c r="A56" s="42"/>
      <x:c r="B56" s="42"/>
      <x:c r="C56" s="42"/>
      <x:c r="D56" s="42"/>
      <x:c r="E56" s="68"/>
      <x:c r="F56" s="68"/>
      <x:c r="G56" s="42"/>
      <x:c r="H56" s="42"/>
      <x:c r="I56" s="42"/>
    </x:row>
    <x:row r="57">
      <x:c r="A57" s="42"/>
      <x:c r="B57" s="42"/>
      <x:c r="C57" s="42"/>
      <x:c r="D57" s="42"/>
      <x:c r="E57" s="68"/>
      <x:c r="F57" s="68"/>
      <x:c r="G57" s="42"/>
      <x:c r="H57" s="42"/>
      <x:c r="I57" s="42"/>
    </x:row>
    <x:row r="58">
      <x:c r="A58" s="42"/>
      <x:c r="B58" s="42"/>
      <x:c r="C58" s="42"/>
      <x:c r="D58" s="42"/>
      <x:c r="E58" s="68"/>
      <x:c r="F58" s="68"/>
      <x:c r="G58" s="42"/>
      <x:c r="H58" s="42"/>
      <x:c r="I58" s="42"/>
    </x:row>
    <x:row r="59">
      <x:c r="A59" s="42"/>
      <x:c r="B59" s="42"/>
      <x:c r="C59" s="42"/>
      <x:c r="D59" s="42"/>
      <x:c r="E59" s="68"/>
      <x:c r="F59" s="68"/>
      <x:c r="G59" s="42"/>
      <x:c r="H59" s="42"/>
      <x:c r="I59" s="42"/>
    </x:row>
    <x:row r="60">
      <x:c r="A60" s="42"/>
      <x:c r="B60" s="42"/>
      <x:c r="C60" s="42"/>
      <x:c r="D60" s="42"/>
      <x:c r="E60" s="68"/>
      <x:c r="F60" s="68"/>
      <x:c r="G60" s="42"/>
      <x:c r="H60" s="42"/>
      <x:c r="I60" s="42"/>
    </x:row>
    <x:row r="61">
      <x:c r="A61" s="42"/>
      <x:c r="B61" s="42"/>
      <x:c r="C61" s="42"/>
      <x:c r="D61" s="42"/>
      <x:c r="E61" s="68"/>
      <x:c r="F61" s="68"/>
      <x:c r="G61" s="42"/>
      <x:c r="H61" s="42"/>
      <x:c r="I61" s="42"/>
    </x:row>
    <x:row r="62">
      <x:c r="A62" s="42"/>
      <x:c r="B62" s="42"/>
      <x:c r="C62" s="42"/>
      <x:c r="D62" s="42"/>
      <x:c r="E62" s="68"/>
      <x:c r="F62" s="68"/>
      <x:c r="G62" s="42"/>
      <x:c r="H62" s="42"/>
      <x:c r="I62" s="42"/>
    </x:row>
    <x:row r="63">
      <x:c r="A63" s="42"/>
      <x:c r="B63" s="42"/>
      <x:c r="C63" s="42"/>
      <x:c r="D63" s="42"/>
      <x:c r="E63" s="68"/>
      <x:c r="F63" s="68"/>
      <x:c r="G63" s="42"/>
      <x:c r="H63" s="42"/>
      <x:c r="I63" s="42"/>
    </x:row>
    <x:row r="64">
      <x:c r="A64" s="42"/>
      <x:c r="B64" s="42"/>
      <x:c r="C64" s="42"/>
      <x:c r="D64" s="42"/>
      <x:c r="E64" s="68"/>
      <x:c r="F64" s="68"/>
      <x:c r="G64" s="42"/>
      <x:c r="H64" s="42"/>
      <x:c r="I64" s="42"/>
    </x:row>
    <x:row r="65">
      <x:c r="A65" s="42"/>
      <x:c r="B65" s="42"/>
      <x:c r="C65" s="42"/>
      <x:c r="D65" s="42"/>
      <x:c r="E65" s="68"/>
      <x:c r="F65" s="68"/>
      <x:c r="G65" s="42"/>
      <x:c r="H65" s="42"/>
      <x:c r="I65" s="42"/>
    </x:row>
    <x:row r="66">
      <x:c r="A66" s="42"/>
      <x:c r="B66" s="42"/>
      <x:c r="C66" s="42"/>
      <x:c r="D66" s="42"/>
      <x:c r="E66" s="68"/>
      <x:c r="F66" s="68"/>
      <x:c r="G66" s="42"/>
      <x:c r="H66" s="42"/>
      <x:c r="I66" s="42"/>
    </x:row>
    <x:row r="67">
      <x:c r="A67" s="42"/>
      <x:c r="B67" s="42"/>
      <x:c r="C67" s="42"/>
      <x:c r="D67" s="42"/>
      <x:c r="E67" s="68"/>
      <x:c r="F67" s="68"/>
      <x:c r="G67" s="42"/>
      <x:c r="H67" s="42"/>
      <x:c r="I67" s="42"/>
    </x:row>
    <x:row r="68">
      <x:c r="A68" s="42"/>
      <x:c r="B68" s="42"/>
      <x:c r="C68" s="42"/>
      <x:c r="D68" s="42"/>
      <x:c r="E68" s="68"/>
      <x:c r="F68" s="68"/>
      <x:c r="G68" s="42"/>
      <x:c r="H68" s="42"/>
      <x:c r="I68" s="42"/>
    </x:row>
    <x:row r="69">
      <x:c r="A69" s="42"/>
      <x:c r="B69" s="42"/>
      <x:c r="C69" s="42"/>
      <x:c r="D69" s="42"/>
      <x:c r="E69" s="68"/>
      <x:c r="F69" s="68"/>
      <x:c r="G69" s="42"/>
      <x:c r="H69" s="42"/>
      <x:c r="I69" s="42"/>
    </x:row>
    <x:row r="70">
      <x:c r="A70" s="42"/>
      <x:c r="B70" s="42"/>
      <x:c r="C70" s="42"/>
      <x:c r="D70" s="42"/>
      <x:c r="E70" s="68"/>
      <x:c r="F70" s="68"/>
      <x:c r="G70" s="42"/>
      <x:c r="H70" s="42"/>
      <x:c r="I70" s="42"/>
    </x:row>
    <x:row r="71">
      <x:c r="A71" s="42"/>
      <x:c r="B71" s="42"/>
      <x:c r="C71" s="42"/>
      <x:c r="D71" s="42"/>
      <x:c r="E71" s="68"/>
      <x:c r="F71" s="68"/>
      <x:c r="G71" s="42"/>
      <x:c r="H71" s="42"/>
      <x:c r="I71" s="42"/>
    </x:row>
    <x:row r="72">
      <x:c r="A72" s="42"/>
      <x:c r="B72" s="42"/>
      <x:c r="C72" s="42"/>
      <x:c r="D72" s="42"/>
      <x:c r="E72" s="68"/>
      <x:c r="F72" s="68"/>
      <x:c r="G72" s="42"/>
      <x:c r="H72" s="42"/>
      <x:c r="I72" s="42"/>
    </x:row>
    <x:row r="73">
      <x:c r="A73" s="42"/>
      <x:c r="B73" s="42"/>
      <x:c r="C73" s="42"/>
      <x:c r="D73" s="42"/>
      <x:c r="E73" s="68"/>
      <x:c r="F73" s="68"/>
      <x:c r="G73" s="42"/>
      <x:c r="H73" s="42"/>
      <x:c r="I73" s="42"/>
    </x:row>
    <x:row r="74">
      <x:c r="A74" s="42"/>
      <x:c r="B74" s="42"/>
      <x:c r="C74" s="42"/>
      <x:c r="D74" s="42"/>
      <x:c r="E74" s="68"/>
      <x:c r="F74" s="68"/>
      <x:c r="G74" s="42"/>
      <x:c r="H74" s="42"/>
      <x:c r="I74" s="42"/>
    </x:row>
    <x:row r="75">
      <x:c r="A75" s="42"/>
      <x:c r="B75" s="42"/>
      <x:c r="C75" s="42"/>
      <x:c r="D75" s="42"/>
      <x:c r="E75" s="68"/>
      <x:c r="F75" s="68"/>
      <x:c r="G75" s="42"/>
      <x:c r="H75" s="42"/>
      <x:c r="I75" s="42"/>
    </x:row>
    <x:row r="76">
      <x:c r="A76" s="42"/>
      <x:c r="B76" s="42"/>
      <x:c r="C76" s="42"/>
      <x:c r="D76" s="42"/>
      <x:c r="E76" s="68"/>
      <x:c r="F76" s="68"/>
      <x:c r="G76" s="42"/>
      <x:c r="H76" s="42"/>
      <x:c r="I76" s="42"/>
    </x:row>
    <x:row r="77">
      <x:c r="A77" s="42"/>
      <x:c r="B77" s="42"/>
      <x:c r="C77" s="42"/>
      <x:c r="D77" s="42"/>
      <x:c r="E77" s="68"/>
      <x:c r="F77" s="68"/>
      <x:c r="G77" s="42"/>
      <x:c r="H77" s="42"/>
      <x:c r="I77" s="42"/>
    </x:row>
    <x:row r="78">
      <x:c r="A78" s="42"/>
      <x:c r="B78" s="42"/>
      <x:c r="C78" s="42"/>
      <x:c r="D78" s="42"/>
      <x:c r="E78" s="68"/>
      <x:c r="F78" s="68"/>
      <x:c r="G78" s="42"/>
      <x:c r="H78" s="42"/>
      <x:c r="I78" s="42"/>
    </x:row>
    <x:row r="79">
      <x:c r="A79" s="42"/>
      <x:c r="B79" s="42"/>
      <x:c r="C79" s="42"/>
      <x:c r="D79" s="42"/>
      <x:c r="E79" s="68"/>
      <x:c r="F79" s="68"/>
      <x:c r="G79" s="42"/>
      <x:c r="H79" s="42"/>
      <x:c r="I79" s="42"/>
    </x:row>
    <x:row r="80">
      <x:c r="A80" s="42"/>
      <x:c r="B80" s="42"/>
      <x:c r="C80" s="42"/>
      <x:c r="D80" s="42"/>
      <x:c r="E80" s="68"/>
      <x:c r="F80" s="68"/>
      <x:c r="G80" s="42"/>
      <x:c r="H80" s="42"/>
      <x:c r="I80" s="42"/>
    </x:row>
    <x:row r="81">
      <x:c r="A81" s="42"/>
      <x:c r="B81" s="42"/>
      <x:c r="C81" s="42"/>
      <x:c r="D81" s="42"/>
      <x:c r="E81" s="68"/>
      <x:c r="F81" s="68"/>
      <x:c r="G81" s="42"/>
      <x:c r="H81" s="42"/>
      <x:c r="I81" s="42"/>
    </x:row>
    <x:row r="82">
      <x:c r="A82" s="42"/>
      <x:c r="B82" s="42"/>
      <x:c r="C82" s="42"/>
      <x:c r="D82" s="42"/>
      <x:c r="E82" s="68"/>
      <x:c r="F82" s="68"/>
      <x:c r="G82" s="42"/>
      <x:c r="H82" s="42"/>
      <x:c r="I82" s="42"/>
    </x:row>
    <x:row r="83">
      <x:c r="A83" s="42"/>
      <x:c r="B83" s="42"/>
      <x:c r="C83" s="42"/>
      <x:c r="D83" s="42"/>
      <x:c r="E83" s="68"/>
      <x:c r="F83" s="68"/>
      <x:c r="G83" s="42"/>
      <x:c r="H83" s="42"/>
      <x:c r="I83" s="42"/>
    </x:row>
    <x:row r="84">
      <x:c r="A84" s="42"/>
      <x:c r="B84" s="42"/>
      <x:c r="C84" s="42"/>
      <x:c r="D84" s="42"/>
      <x:c r="E84" s="68"/>
      <x:c r="F84" s="68"/>
      <x:c r="G84" s="42"/>
      <x:c r="H84" s="42"/>
      <x:c r="I84" s="42"/>
    </x:row>
    <x:row r="85">
      <x:c r="A85" s="42"/>
      <x:c r="B85" s="42"/>
      <x:c r="C85" s="42"/>
      <x:c r="D85" s="42"/>
      <x:c r="E85" s="68"/>
      <x:c r="F85" s="68"/>
      <x:c r="G85" s="42"/>
      <x:c r="H85" s="42"/>
      <x:c r="I85" s="42"/>
    </x:row>
    <x:row r="86">
      <x:c r="A86" s="42"/>
      <x:c r="B86" s="42"/>
      <x:c r="C86" s="42"/>
      <x:c r="D86" s="42"/>
      <x:c r="E86" s="68"/>
      <x:c r="F86" s="68"/>
      <x:c r="G86" s="42"/>
      <x:c r="H86" s="42"/>
      <x:c r="I86" s="42"/>
    </x:row>
    <x:row r="87">
      <x:c r="A87" s="42"/>
      <x:c r="B87" s="42"/>
      <x:c r="C87" s="42"/>
      <x:c r="D87" s="42"/>
      <x:c r="E87" s="68"/>
      <x:c r="F87" s="68"/>
      <x:c r="G87" s="42"/>
      <x:c r="H87" s="42"/>
      <x:c r="I87" s="42"/>
    </x:row>
    <x:row r="88">
      <x:c r="A88" s="42"/>
      <x:c r="B88" s="42"/>
      <x:c r="C88" s="42"/>
      <x:c r="D88" s="42"/>
      <x:c r="E88" s="68"/>
      <x:c r="F88" s="68"/>
      <x:c r="G88" s="42"/>
      <x:c r="H88" s="42"/>
      <x:c r="I88" s="42"/>
    </x:row>
    <x:row r="89">
      <x:c r="A89" s="42"/>
      <x:c r="B89" s="42"/>
      <x:c r="C89" s="42"/>
      <x:c r="D89" s="42"/>
      <x:c r="E89" s="68"/>
      <x:c r="F89" s="68"/>
      <x:c r="G89" s="42"/>
      <x:c r="H89" s="42"/>
      <x:c r="I89" s="42"/>
    </x:row>
    <x:row r="90">
      <x:c r="A90" s="42"/>
      <x:c r="B90" s="42"/>
      <x:c r="C90" s="42"/>
      <x:c r="D90" s="42"/>
      <x:c r="E90" s="68"/>
      <x:c r="F90" s="68"/>
      <x:c r="G90" s="42"/>
      <x:c r="H90" s="42"/>
      <x:c r="I90" s="42"/>
    </x:row>
    <x:row r="91">
      <x:c r="A91" s="42"/>
      <x:c r="B91" s="42"/>
      <x:c r="C91" s="42"/>
      <x:c r="D91" s="42"/>
      <x:c r="E91" s="68"/>
      <x:c r="F91" s="68"/>
      <x:c r="G91" s="42"/>
      <x:c r="H91" s="42"/>
      <x:c r="I91" s="42"/>
    </x:row>
    <x:row r="92">
      <x:c r="A92" s="42"/>
      <x:c r="B92" s="42"/>
      <x:c r="C92" s="42"/>
      <x:c r="D92" s="42"/>
      <x:c r="E92" s="68"/>
      <x:c r="F92" s="68"/>
      <x:c r="G92" s="42"/>
      <x:c r="H92" s="42"/>
      <x:c r="I92" s="42"/>
    </x:row>
    <x:row r="93">
      <x:c r="A93" s="42"/>
      <x:c r="B93" s="42"/>
      <x:c r="C93" s="42"/>
      <x:c r="D93" s="42"/>
      <x:c r="E93" s="68"/>
      <x:c r="F93" s="68"/>
      <x:c r="G93" s="42"/>
      <x:c r="H93" s="42"/>
      <x:c r="I93" s="42"/>
    </x:row>
    <x:row r="94">
      <x:c r="A94" s="42"/>
      <x:c r="B94" s="42"/>
      <x:c r="C94" s="42"/>
      <x:c r="D94" s="42"/>
      <x:c r="E94" s="68"/>
      <x:c r="F94" s="68"/>
      <x:c r="G94" s="42"/>
      <x:c r="H94" s="42"/>
      <x:c r="I94" s="42"/>
    </x:row>
    <x:row r="95">
      <x:c r="A95" s="42"/>
      <x:c r="B95" s="42"/>
      <x:c r="C95" s="42"/>
      <x:c r="D95" s="42"/>
      <x:c r="E95" s="68"/>
      <x:c r="F95" s="68"/>
      <x:c r="G95" s="42"/>
      <x:c r="H95" s="42"/>
      <x:c r="I95" s="42"/>
    </x:row>
    <x:row r="96">
      <x:c r="A96" s="42"/>
      <x:c r="B96" s="42"/>
      <x:c r="C96" s="42"/>
      <x:c r="D96" s="42"/>
      <x:c r="E96" s="68"/>
      <x:c r="F96" s="68"/>
      <x:c r="G96" s="42"/>
      <x:c r="H96" s="42"/>
      <x:c r="I96" s="42"/>
    </x:row>
    <x:row r="97">
      <x:c r="A97" s="42"/>
      <x:c r="B97" s="42"/>
      <x:c r="C97" s="42"/>
      <x:c r="D97" s="42"/>
      <x:c r="E97" s="68"/>
      <x:c r="F97" s="68"/>
      <x:c r="G97" s="42"/>
      <x:c r="H97" s="42"/>
      <x:c r="I97" s="42"/>
    </x:row>
    <x:row r="98">
      <x:c r="A98" s="42"/>
      <x:c r="B98" s="42"/>
      <x:c r="C98" s="42"/>
      <x:c r="D98" s="42"/>
      <x:c r="E98" s="68"/>
      <x:c r="F98" s="68"/>
      <x:c r="G98" s="42"/>
      <x:c r="H98" s="42"/>
      <x:c r="I98" s="42"/>
    </x:row>
    <x:row r="99">
      <x:c r="A99" s="42"/>
      <x:c r="B99" s="42"/>
      <x:c r="C99" s="42"/>
      <x:c r="D99" s="42"/>
      <x:c r="E99" s="68"/>
      <x:c r="F99" s="68"/>
      <x:c r="G99" s="42"/>
      <x:c r="H99" s="42"/>
      <x:c r="I99" s="42"/>
    </x:row>
    <x:row r="100">
      <x:c r="A100" s="42"/>
      <x:c r="B100" s="42"/>
      <x:c r="C100" s="42"/>
      <x:c r="D100" s="42"/>
      <x:c r="E100" s="68"/>
      <x:c r="F100" s="68"/>
      <x:c r="G100" s="42"/>
      <x:c r="H100" s="42"/>
      <x:c r="I100" s="42"/>
    </x:row>
    <x:row r="101">
      <x:c r="A101" s="42"/>
      <x:c r="B101" s="42"/>
      <x:c r="C101" s="42"/>
      <x:c r="D101" s="42"/>
      <x:c r="E101" s="68"/>
      <x:c r="F101" s="68"/>
      <x:c r="G101" s="42"/>
      <x:c r="H101" s="42"/>
      <x:c r="I101" s="42"/>
    </x:row>
    <x:row r="102">
      <x:c r="A102" s="42"/>
      <x:c r="B102" s="42"/>
      <x:c r="C102" s="42"/>
      <x:c r="D102" s="42"/>
      <x:c r="E102" s="68"/>
      <x:c r="F102" s="68"/>
      <x:c r="G102" s="42"/>
      <x:c r="H102" s="42"/>
      <x:c r="I102" s="42"/>
    </x:row>
    <x:row r="103">
      <x:c r="A103" s="42"/>
      <x:c r="B103" s="42"/>
      <x:c r="C103" s="42"/>
      <x:c r="D103" s="42"/>
      <x:c r="E103" s="68"/>
      <x:c r="F103" s="68"/>
      <x:c r="G103" s="42"/>
      <x:c r="H103" s="42"/>
      <x:c r="I103" s="42"/>
    </x:row>
    <x:row r="104">
      <x:c r="A104" s="42"/>
      <x:c r="B104" s="42"/>
      <x:c r="C104" s="42"/>
      <x:c r="D104" s="42"/>
      <x:c r="E104" s="68"/>
      <x:c r="F104" s="68"/>
      <x:c r="G104" s="42"/>
      <x:c r="H104" s="42"/>
      <x:c r="I104" s="42"/>
    </x:row>
    <x:row r="105">
      <x:c r="A105" s="42"/>
      <x:c r="B105" s="42"/>
      <x:c r="C105" s="42"/>
      <x:c r="D105" s="42"/>
      <x:c r="E105" s="68"/>
      <x:c r="F105" s="68"/>
      <x:c r="G105" s="42"/>
      <x:c r="H105" s="42"/>
      <x:c r="I105" s="42"/>
    </x:row>
    <x:row r="106">
      <x:c r="A106" s="42"/>
      <x:c r="B106" s="42"/>
      <x:c r="C106" s="42"/>
      <x:c r="D106" s="42"/>
      <x:c r="E106" s="68"/>
      <x:c r="F106" s="68"/>
      <x:c r="G106" s="42"/>
      <x:c r="H106" s="42"/>
      <x:c r="I106" s="42"/>
    </x:row>
    <x:row r="107">
      <x:c r="A107" s="42"/>
      <x:c r="B107" s="42"/>
      <x:c r="C107" s="42"/>
      <x:c r="D107" s="42"/>
      <x:c r="E107" s="68"/>
      <x:c r="F107" s="68"/>
      <x:c r="G107" s="42"/>
      <x:c r="H107" s="42"/>
      <x:c r="I107" s="42"/>
    </x:row>
    <x:row r="108">
      <x:c r="A108" s="42"/>
      <x:c r="B108" s="42"/>
      <x:c r="C108" s="42"/>
      <x:c r="D108" s="42"/>
      <x:c r="E108" s="68"/>
      <x:c r="F108" s="68"/>
      <x:c r="G108" s="42"/>
      <x:c r="H108" s="42"/>
      <x:c r="I108" s="42"/>
    </x:row>
    <x:row r="109">
      <x:c r="A109" s="42"/>
      <x:c r="B109" s="42"/>
      <x:c r="C109" s="42"/>
      <x:c r="D109" s="42"/>
      <x:c r="E109" s="68"/>
      <x:c r="F109" s="68"/>
      <x:c r="G109" s="42"/>
      <x:c r="H109" s="42"/>
      <x:c r="I109" s="42"/>
    </x:row>
    <x:row r="110">
      <x:c r="A110" s="42"/>
      <x:c r="B110" s="42"/>
      <x:c r="C110" s="42"/>
      <x:c r="D110" s="42"/>
      <x:c r="E110" s="68"/>
      <x:c r="F110" s="68"/>
      <x:c r="G110" s="42"/>
      <x:c r="H110" s="42"/>
      <x:c r="I110" s="42"/>
    </x:row>
    <x:row r="111">
      <x:c r="A111" s="42"/>
      <x:c r="B111" s="42"/>
      <x:c r="C111" s="42"/>
      <x:c r="D111" s="42"/>
      <x:c r="E111" s="68"/>
      <x:c r="F111" s="68"/>
      <x:c r="G111" s="42"/>
      <x:c r="H111" s="42"/>
      <x:c r="I111" s="42"/>
    </x:row>
    <x:row r="112">
      <x:c r="A112" s="42"/>
      <x:c r="B112" s="42"/>
      <x:c r="C112" s="42"/>
      <x:c r="D112" s="42"/>
      <x:c r="E112" s="68"/>
      <x:c r="F112" s="68"/>
      <x:c r="G112" s="42"/>
      <x:c r="H112" s="42"/>
      <x:c r="I112" s="42"/>
    </x:row>
    <x:row r="113">
      <x:c r="A113" s="42"/>
      <x:c r="B113" s="42"/>
      <x:c r="C113" s="42"/>
      <x:c r="D113" s="42"/>
      <x:c r="E113" s="68"/>
      <x:c r="F113" s="68"/>
      <x:c r="G113" s="42"/>
      <x:c r="H113" s="42"/>
      <x:c r="I113" s="42"/>
    </x:row>
    <x:row r="114">
      <x:c r="A114" s="42"/>
      <x:c r="B114" s="42"/>
      <x:c r="C114" s="42"/>
      <x:c r="D114" s="42"/>
      <x:c r="E114" s="68"/>
      <x:c r="F114" s="68"/>
      <x:c r="G114" s="42"/>
      <x:c r="H114" s="42"/>
      <x:c r="I114" s="42"/>
    </x:row>
    <x:row r="115">
      <x:c r="A115" s="42"/>
      <x:c r="B115" s="42"/>
      <x:c r="C115" s="42"/>
      <x:c r="D115" s="42"/>
      <x:c r="E115" s="68"/>
      <x:c r="F115" s="68"/>
      <x:c r="G115" s="42"/>
      <x:c r="H115" s="42"/>
      <x:c r="I115" s="42"/>
    </x:row>
    <x:row r="116">
      <x:c r="A116" s="42"/>
      <x:c r="B116" s="42"/>
      <x:c r="C116" s="42"/>
      <x:c r="D116" s="42"/>
      <x:c r="E116" s="68"/>
      <x:c r="F116" s="68"/>
      <x:c r="G116" s="42"/>
      <x:c r="H116" s="42"/>
      <x:c r="I116" s="42"/>
    </x:row>
    <x:row r="117">
      <x:c r="A117" s="42"/>
      <x:c r="B117" s="42"/>
      <x:c r="C117" s="42"/>
      <x:c r="D117" s="42"/>
      <x:c r="E117" s="68"/>
      <x:c r="F117" s="68"/>
      <x:c r="G117" s="42"/>
      <x:c r="H117" s="42"/>
      <x:c r="I117" s="42"/>
    </x:row>
    <x:row r="118">
      <x:c r="A118" s="42"/>
      <x:c r="B118" s="42"/>
      <x:c r="C118" s="42"/>
      <x:c r="D118" s="42"/>
      <x:c r="E118" s="68"/>
      <x:c r="F118" s="68"/>
      <x:c r="G118" s="42"/>
      <x:c r="H118" s="42"/>
      <x:c r="I118" s="42"/>
    </x:row>
    <x:row r="119">
      <x:c r="A119" s="42"/>
      <x:c r="B119" s="42"/>
      <x:c r="C119" s="42"/>
      <x:c r="D119" s="42"/>
      <x:c r="E119" s="68"/>
      <x:c r="F119" s="68"/>
      <x:c r="G119" s="42"/>
      <x:c r="H119" s="42"/>
      <x:c r="I119" s="42"/>
    </x:row>
    <x:row r="120">
      <x:c r="A120" s="42"/>
      <x:c r="B120" s="42"/>
      <x:c r="C120" s="42"/>
      <x:c r="D120" s="42"/>
      <x:c r="E120" s="68"/>
      <x:c r="F120" s="68"/>
      <x:c r="G120" s="42"/>
      <x:c r="H120" s="42"/>
      <x:c r="I120" s="42"/>
    </x:row>
    <x:row r="121">
      <x:c r="A121" s="42"/>
      <x:c r="B121" s="42"/>
      <x:c r="C121" s="42"/>
      <x:c r="D121" s="42"/>
      <x:c r="E121" s="68"/>
      <x:c r="F121" s="68"/>
      <x:c r="G121" s="42"/>
      <x:c r="H121" s="42"/>
      <x:c r="I121" s="42"/>
    </x:row>
    <x:row r="122">
      <x:c r="A122" s="42"/>
      <x:c r="B122" s="42"/>
      <x:c r="C122" s="42"/>
      <x:c r="D122" s="42"/>
      <x:c r="E122" s="68"/>
      <x:c r="F122" s="68"/>
      <x:c r="G122" s="42"/>
      <x:c r="H122" s="42"/>
      <x:c r="I122" s="42"/>
    </x:row>
    <x:row r="123">
      <x:c r="A123" s="42"/>
      <x:c r="B123" s="42"/>
      <x:c r="C123" s="42"/>
      <x:c r="D123" s="42"/>
      <x:c r="E123" s="68"/>
      <x:c r="F123" s="68"/>
      <x:c r="G123" s="42"/>
      <x:c r="H123" s="42"/>
      <x:c r="I123" s="42"/>
    </x:row>
    <x:row r="124">
      <x:c r="A124" s="42"/>
      <x:c r="B124" s="42"/>
      <x:c r="C124" s="42"/>
      <x:c r="D124" s="42"/>
      <x:c r="E124" s="68"/>
      <x:c r="F124" s="68"/>
      <x:c r="G124" s="42"/>
      <x:c r="H124" s="42"/>
      <x:c r="I124" s="42"/>
    </x:row>
    <x:row r="125">
      <x:c r="A125" s="42"/>
      <x:c r="B125" s="42"/>
      <x:c r="C125" s="42"/>
      <x:c r="D125" s="42"/>
      <x:c r="E125" s="68"/>
      <x:c r="F125" s="68"/>
      <x:c r="G125" s="42"/>
      <x:c r="H125" s="42"/>
      <x:c r="I125" s="42"/>
    </x:row>
    <x:row r="126">
      <x:c r="A126" s="42"/>
      <x:c r="B126" s="42"/>
      <x:c r="C126" s="42"/>
      <x:c r="D126" s="42"/>
      <x:c r="E126" s="68"/>
      <x:c r="F126" s="68"/>
      <x:c r="G126" s="42"/>
      <x:c r="H126" s="42"/>
      <x:c r="I126" s="42"/>
    </x:row>
    <x:row r="127">
      <x:c r="A127" s="42"/>
      <x:c r="B127" s="42"/>
      <x:c r="C127" s="42"/>
      <x:c r="D127" s="42"/>
      <x:c r="E127" s="68"/>
      <x:c r="F127" s="68"/>
      <x:c r="G127" s="42"/>
      <x:c r="H127" s="42"/>
      <x:c r="I127" s="42"/>
    </x:row>
    <x:row r="128">
      <x:c r="A128" s="42"/>
      <x:c r="B128" s="42"/>
      <x:c r="C128" s="42"/>
      <x:c r="D128" s="42"/>
      <x:c r="E128" s="68"/>
      <x:c r="F128" s="68"/>
      <x:c r="G128" s="42"/>
      <x:c r="H128" s="42"/>
      <x:c r="I128" s="42"/>
    </x:row>
    <x:row r="129">
      <x:c r="A129" s="42"/>
      <x:c r="B129" s="42"/>
      <x:c r="C129" s="42"/>
      <x:c r="D129" s="42"/>
      <x:c r="E129" s="68"/>
      <x:c r="F129" s="68"/>
      <x:c r="G129" s="42"/>
      <x:c r="H129" s="42"/>
      <x:c r="I129" s="42"/>
    </x:row>
    <x:row r="130">
      <x:c r="A130" s="42"/>
      <x:c r="B130" s="42"/>
      <x:c r="C130" s="42"/>
      <x:c r="D130" s="42"/>
      <x:c r="E130" s="68"/>
      <x:c r="F130" s="68"/>
      <x:c r="G130" s="42"/>
      <x:c r="H130" s="42"/>
      <x:c r="I130" s="42"/>
    </x:row>
    <x:row r="131">
      <x:c r="A131" s="42"/>
      <x:c r="B131" s="42"/>
      <x:c r="C131" s="42"/>
      <x:c r="D131" s="42"/>
      <x:c r="E131" s="68"/>
      <x:c r="F131" s="68"/>
      <x:c r="G131" s="42"/>
      <x:c r="H131" s="42"/>
      <x:c r="I131" s="42"/>
    </x:row>
    <x:row r="132">
      <x:c r="A132" s="42"/>
      <x:c r="B132" s="42"/>
      <x:c r="C132" s="42"/>
      <x:c r="D132" s="42"/>
      <x:c r="E132" s="68"/>
      <x:c r="F132" s="68"/>
      <x:c r="G132" s="42"/>
      <x:c r="H132" s="42"/>
      <x:c r="I132" s="42"/>
    </x:row>
    <x:row r="133">
      <x:c r="A133" s="42"/>
      <x:c r="B133" s="42"/>
      <x:c r="C133" s="42"/>
      <x:c r="D133" s="42"/>
      <x:c r="E133" s="68"/>
      <x:c r="F133" s="68"/>
      <x:c r="G133" s="42"/>
      <x:c r="H133" s="42"/>
      <x:c r="I133" s="42"/>
    </x:row>
    <x:row r="134">
      <x:c r="A134" s="42"/>
      <x:c r="B134" s="42"/>
      <x:c r="C134" s="42"/>
      <x:c r="D134" s="42"/>
      <x:c r="E134" s="68"/>
      <x:c r="F134" s="68"/>
      <x:c r="G134" s="42"/>
      <x:c r="H134" s="42"/>
      <x:c r="I134" s="42"/>
    </x:row>
    <x:row r="135">
      <x:c r="A135" s="42"/>
      <x:c r="B135" s="42"/>
      <x:c r="C135" s="42"/>
      <x:c r="D135" s="42"/>
      <x:c r="E135" s="68"/>
      <x:c r="F135" s="68"/>
      <x:c r="G135" s="42"/>
      <x:c r="H135" s="42"/>
      <x:c r="I135" s="42"/>
    </x:row>
    <x:row r="136">
      <x:c r="A136" s="42"/>
      <x:c r="B136" s="42"/>
      <x:c r="C136" s="42"/>
      <x:c r="D136" s="42"/>
      <x:c r="E136" s="68"/>
      <x:c r="F136" s="68"/>
      <x:c r="G136" s="42"/>
      <x:c r="H136" s="42"/>
      <x:c r="I136" s="42"/>
    </x:row>
    <x:row r="137">
      <x:c r="A137" s="42"/>
      <x:c r="B137" s="42"/>
      <x:c r="C137" s="42"/>
      <x:c r="D137" s="42"/>
      <x:c r="E137" s="68"/>
      <x:c r="F137" s="68"/>
      <x:c r="G137" s="42"/>
      <x:c r="H137" s="42"/>
      <x:c r="I137" s="42"/>
    </x:row>
    <x:row r="138">
      <x:c r="A138" s="42"/>
      <x:c r="B138" s="42"/>
      <x:c r="C138" s="42"/>
      <x:c r="D138" s="42"/>
      <x:c r="E138" s="68"/>
      <x:c r="F138" s="68"/>
      <x:c r="G138" s="42"/>
      <x:c r="H138" s="42"/>
      <x:c r="I138" s="42"/>
    </x:row>
    <x:row r="139">
      <x:c r="A139" s="42"/>
      <x:c r="B139" s="42"/>
      <x:c r="C139" s="42"/>
      <x:c r="D139" s="42"/>
      <x:c r="E139" s="68"/>
      <x:c r="F139" s="68"/>
      <x:c r="G139" s="42"/>
      <x:c r="H139" s="42"/>
      <x:c r="I139" s="42"/>
    </x:row>
    <x:row r="140">
      <x:c r="A140" s="42"/>
      <x:c r="B140" s="42"/>
      <x:c r="C140" s="42"/>
      <x:c r="D140" s="42"/>
      <x:c r="E140" s="68"/>
      <x:c r="F140" s="68"/>
      <x:c r="G140" s="42"/>
      <x:c r="H140" s="42"/>
      <x:c r="I140" s="42"/>
    </x:row>
    <x:row r="141">
      <x:c r="A141" s="42"/>
      <x:c r="B141" s="42"/>
      <x:c r="C141" s="42"/>
      <x:c r="D141" s="42"/>
      <x:c r="E141" s="68"/>
      <x:c r="F141" s="68"/>
      <x:c r="G141" s="42"/>
      <x:c r="H141" s="42"/>
      <x:c r="I141" s="42"/>
    </x:row>
    <x:row r="142">
      <x:c r="A142" s="42"/>
      <x:c r="B142" s="42"/>
      <x:c r="C142" s="42"/>
      <x:c r="D142" s="42"/>
      <x:c r="E142" s="68"/>
      <x:c r="F142" s="68"/>
      <x:c r="G142" s="42"/>
      <x:c r="H142" s="42"/>
      <x:c r="I142" s="42"/>
    </x:row>
    <x:row r="143">
      <x:c r="A143" s="42"/>
      <x:c r="B143" s="42"/>
      <x:c r="C143" s="42"/>
      <x:c r="D143" s="42"/>
      <x:c r="E143" s="68"/>
      <x:c r="F143" s="68"/>
      <x:c r="G143" s="42"/>
      <x:c r="H143" s="42"/>
      <x:c r="I143" s="42"/>
    </x:row>
    <x:row r="144">
      <x:c r="A144" s="42"/>
      <x:c r="B144" s="42"/>
      <x:c r="C144" s="42"/>
      <x:c r="D144" s="42"/>
      <x:c r="E144" s="68"/>
      <x:c r="F144" s="68"/>
      <x:c r="G144" s="42"/>
      <x:c r="H144" s="42"/>
      <x:c r="I144" s="42"/>
    </x:row>
    <x:row r="145">
      <x:c r="A145" s="42"/>
      <x:c r="B145" s="42"/>
      <x:c r="C145" s="42"/>
      <x:c r="D145" s="42"/>
      <x:c r="E145" s="68"/>
      <x:c r="F145" s="68"/>
      <x:c r="G145" s="42"/>
      <x:c r="H145" s="42"/>
      <x:c r="I145" s="42"/>
    </x:row>
    <x:row r="146">
      <x:c r="A146" s="42"/>
      <x:c r="B146" s="42"/>
      <x:c r="C146" s="42"/>
      <x:c r="D146" s="42"/>
      <x:c r="E146" s="68"/>
      <x:c r="F146" s="68"/>
      <x:c r="G146" s="42"/>
      <x:c r="H146" s="42"/>
      <x:c r="I146" s="42"/>
    </x:row>
    <x:row r="147">
      <x:c r="A147" s="42"/>
      <x:c r="B147" s="42"/>
      <x:c r="C147" s="42"/>
      <x:c r="D147" s="42"/>
      <x:c r="E147" s="68"/>
      <x:c r="F147" s="68"/>
      <x:c r="G147" s="42"/>
      <x:c r="H147" s="42"/>
      <x:c r="I147" s="42"/>
    </x:row>
    <x:row r="148">
      <x:c r="A148" s="42"/>
      <x:c r="B148" s="42"/>
      <x:c r="C148" s="42"/>
      <x:c r="D148" s="42"/>
      <x:c r="E148" s="68"/>
      <x:c r="F148" s="68"/>
      <x:c r="G148" s="42"/>
      <x:c r="H148" s="42"/>
      <x:c r="I148" s="42"/>
    </x:row>
    <x:row r="149">
      <x:c r="A149" s="42"/>
      <x:c r="B149" s="42"/>
      <x:c r="C149" s="42"/>
      <x:c r="D149" s="42"/>
      <x:c r="E149" s="68"/>
      <x:c r="F149" s="68"/>
      <x:c r="G149" s="42"/>
      <x:c r="H149" s="42"/>
      <x:c r="I149" s="42"/>
    </x:row>
    <x:row r="150">
      <x:c r="A150" s="42"/>
      <x:c r="B150" s="42"/>
      <x:c r="C150" s="42"/>
      <x:c r="D150" s="42"/>
      <x:c r="E150" s="68"/>
      <x:c r="F150" s="68"/>
      <x:c r="G150" s="42"/>
      <x:c r="H150" s="42"/>
      <x:c r="I150" s="42"/>
    </x:row>
    <x:row r="151">
      <x:c r="A151" s="42"/>
      <x:c r="B151" s="42"/>
      <x:c r="C151" s="42"/>
      <x:c r="D151" s="42"/>
      <x:c r="E151" s="68"/>
      <x:c r="F151" s="68"/>
      <x:c r="G151" s="42"/>
      <x:c r="H151" s="42"/>
      <x:c r="I151" s="42"/>
    </x:row>
    <x:row r="152">
      <x:c r="A152" s="42"/>
      <x:c r="B152" s="42"/>
      <x:c r="C152" s="42"/>
      <x:c r="D152" s="42"/>
      <x:c r="E152" s="68"/>
      <x:c r="F152" s="68"/>
      <x:c r="G152" s="42"/>
      <x:c r="H152" s="42"/>
      <x:c r="I152" s="42"/>
    </x:row>
    <x:row r="153">
      <x:c r="A153" s="42"/>
      <x:c r="B153" s="42"/>
      <x:c r="C153" s="42"/>
      <x:c r="D153" s="42"/>
      <x:c r="E153" s="68"/>
      <x:c r="F153" s="68"/>
      <x:c r="G153" s="42"/>
      <x:c r="H153" s="42"/>
      <x:c r="I153" s="42"/>
    </x:row>
    <x:row r="154">
      <x:c r="A154" s="42"/>
      <x:c r="B154" s="42"/>
      <x:c r="C154" s="42"/>
      <x:c r="D154" s="42"/>
      <x:c r="E154" s="68"/>
      <x:c r="F154" s="68"/>
      <x:c r="G154" s="42"/>
      <x:c r="H154" s="42"/>
      <x:c r="I154" s="42"/>
    </x:row>
    <x:row r="155">
      <x:c r="A155" s="42"/>
      <x:c r="B155" s="42"/>
      <x:c r="C155" s="42"/>
      <x:c r="D155" s="42"/>
      <x:c r="E155" s="68"/>
      <x:c r="F155" s="68"/>
      <x:c r="G155" s="42"/>
      <x:c r="H155" s="42"/>
      <x:c r="I155" s="42"/>
    </x:row>
    <x:row r="156">
      <x:c r="A156" s="42"/>
      <x:c r="B156" s="42"/>
      <x:c r="C156" s="42"/>
      <x:c r="D156" s="42"/>
      <x:c r="E156" s="68"/>
      <x:c r="F156" s="68"/>
      <x:c r="G156" s="42"/>
      <x:c r="H156" s="42"/>
      <x:c r="I156" s="42"/>
    </x:row>
    <x:row r="157">
      <x:c r="A157" s="42"/>
      <x:c r="B157" s="42"/>
      <x:c r="C157" s="42"/>
      <x:c r="D157" s="42"/>
      <x:c r="E157" s="68"/>
      <x:c r="F157" s="68"/>
      <x:c r="G157" s="42"/>
      <x:c r="H157" s="42"/>
      <x:c r="I157" s="42"/>
    </x:row>
    <x:row r="158">
      <x:c r="A158" s="42"/>
      <x:c r="B158" s="42"/>
      <x:c r="C158" s="42"/>
      <x:c r="D158" s="42"/>
      <x:c r="E158" s="68"/>
      <x:c r="F158" s="68"/>
      <x:c r="G158" s="42"/>
      <x:c r="H158" s="42"/>
      <x:c r="I158" s="42"/>
    </x:row>
    <x:row r="159">
      <x:c r="A159" s="42"/>
      <x:c r="B159" s="42"/>
      <x:c r="C159" s="42"/>
      <x:c r="D159" s="42"/>
      <x:c r="E159" s="68"/>
      <x:c r="F159" s="68"/>
      <x:c r="G159" s="42"/>
      <x:c r="H159" s="42"/>
      <x:c r="I159" s="42"/>
    </x:row>
    <x:row r="160">
      <x:c r="A160" s="42"/>
      <x:c r="B160" s="42"/>
      <x:c r="C160" s="42"/>
      <x:c r="D160" s="42"/>
      <x:c r="E160" s="68"/>
      <x:c r="F160" s="68"/>
      <x:c r="G160" s="42"/>
      <x:c r="H160" s="42"/>
      <x:c r="I160" s="42"/>
    </x:row>
    <x:row r="161">
      <x:c r="A161" s="42"/>
      <x:c r="B161" s="42"/>
      <x:c r="C161" s="42"/>
      <x:c r="D161" s="42"/>
      <x:c r="E161" s="68"/>
      <x:c r="F161" s="68"/>
      <x:c r="G161" s="42"/>
      <x:c r="H161" s="42"/>
      <x:c r="I161" s="42"/>
    </x:row>
    <x:row r="162">
      <x:c r="A162" s="42"/>
      <x:c r="B162" s="42"/>
      <x:c r="C162" s="42"/>
      <x:c r="D162" s="42"/>
      <x:c r="E162" s="68"/>
      <x:c r="F162" s="68"/>
      <x:c r="G162" s="42"/>
      <x:c r="H162" s="42"/>
      <x:c r="I162" s="42"/>
    </x:row>
    <x:row r="163">
      <x:c r="A163" s="42"/>
      <x:c r="B163" s="42"/>
      <x:c r="C163" s="42"/>
      <x:c r="D163" s="42"/>
      <x:c r="E163" s="68"/>
      <x:c r="F163" s="68"/>
      <x:c r="G163" s="42"/>
      <x:c r="H163" s="42"/>
      <x:c r="I163" s="42"/>
    </x:row>
    <x:row r="164">
      <x:c r="A164" s="42"/>
      <x:c r="B164" s="42"/>
      <x:c r="C164" s="42"/>
      <x:c r="D164" s="42"/>
      <x:c r="E164" s="68"/>
      <x:c r="F164" s="68"/>
      <x:c r="G164" s="42"/>
      <x:c r="H164" s="42"/>
      <x:c r="I164" s="42"/>
    </x:row>
    <x:row r="165">
      <x:c r="A165" s="42"/>
      <x:c r="B165" s="42"/>
      <x:c r="C165" s="42"/>
      <x:c r="D165" s="42"/>
      <x:c r="E165" s="68"/>
      <x:c r="F165" s="68"/>
      <x:c r="G165" s="42"/>
      <x:c r="H165" s="42"/>
      <x:c r="I165" s="42"/>
    </x:row>
    <x:row r="166">
      <x:c r="A166" s="42"/>
      <x:c r="B166" s="42"/>
      <x:c r="C166" s="42"/>
      <x:c r="D166" s="42"/>
      <x:c r="E166" s="68"/>
      <x:c r="F166" s="68"/>
      <x:c r="G166" s="42"/>
      <x:c r="H166" s="42"/>
      <x:c r="I166" s="42"/>
    </x:row>
    <x:row r="167">
      <x:c r="A167" s="42"/>
      <x:c r="B167" s="42"/>
      <x:c r="C167" s="42"/>
      <x:c r="D167" s="42"/>
      <x:c r="E167" s="68"/>
      <x:c r="F167" s="68"/>
      <x:c r="G167" s="42"/>
      <x:c r="H167" s="42"/>
      <x:c r="I167" s="42"/>
    </x:row>
    <x:row r="168">
      <x:c r="A168" s="42"/>
      <x:c r="B168" s="42"/>
      <x:c r="C168" s="42"/>
      <x:c r="D168" s="42"/>
      <x:c r="E168" s="68"/>
      <x:c r="F168" s="68"/>
      <x:c r="G168" s="42"/>
      <x:c r="H168" s="42"/>
      <x:c r="I168" s="42"/>
    </x:row>
    <x:row r="169">
      <x:c r="A169" s="42"/>
      <x:c r="B169" s="42"/>
      <x:c r="C169" s="42"/>
      <x:c r="D169" s="42"/>
      <x:c r="E169" s="68"/>
      <x:c r="F169" s="68"/>
      <x:c r="G169" s="42"/>
      <x:c r="H169" s="42"/>
      <x:c r="I169" s="42"/>
    </x:row>
    <x:row r="170">
      <x:c r="A170" s="42"/>
      <x:c r="B170" s="42"/>
      <x:c r="C170" s="42"/>
      <x:c r="D170" s="42"/>
      <x:c r="E170" s="68"/>
      <x:c r="F170" s="68"/>
      <x:c r="G170" s="42"/>
      <x:c r="H170" s="42"/>
      <x:c r="I170" s="42"/>
    </x:row>
    <x:row r="171">
      <x:c r="A171" s="42"/>
      <x:c r="B171" s="42"/>
      <x:c r="C171" s="42"/>
      <x:c r="D171" s="42"/>
      <x:c r="E171" s="68"/>
      <x:c r="F171" s="68"/>
      <x:c r="G171" s="42"/>
      <x:c r="H171" s="42"/>
      <x:c r="I171" s="42"/>
    </x:row>
    <x:row r="172">
      <x:c r="A172" s="42"/>
      <x:c r="B172" s="42"/>
      <x:c r="C172" s="42"/>
      <x:c r="D172" s="42"/>
      <x:c r="E172" s="68"/>
      <x:c r="F172" s="68"/>
      <x:c r="G172" s="42"/>
      <x:c r="H172" s="42"/>
      <x:c r="I172" s="42"/>
    </x:row>
    <x:row r="173">
      <x:c r="A173" s="42"/>
      <x:c r="B173" s="42"/>
      <x:c r="C173" s="42"/>
      <x:c r="D173" s="42"/>
      <x:c r="E173" s="68"/>
      <x:c r="F173" s="68"/>
      <x:c r="G173" s="42"/>
      <x:c r="H173" s="42"/>
      <x:c r="I173" s="42"/>
    </x:row>
    <x:row r="174">
      <x:c r="A174" s="42"/>
      <x:c r="B174" s="42"/>
      <x:c r="C174" s="42"/>
      <x:c r="D174" s="42"/>
      <x:c r="E174" s="68"/>
      <x:c r="F174" s="68"/>
      <x:c r="G174" s="42"/>
      <x:c r="H174" s="42"/>
      <x:c r="I174" s="42"/>
    </x:row>
    <x:row r="175">
      <x:c r="A175" s="42"/>
      <x:c r="B175" s="42"/>
      <x:c r="C175" s="42"/>
      <x:c r="D175" s="42"/>
      <x:c r="E175" s="68"/>
      <x:c r="F175" s="68"/>
      <x:c r="G175" s="42"/>
      <x:c r="H175" s="42"/>
      <x:c r="I175" s="42"/>
    </x:row>
    <x:row r="176">
      <x:c r="A176" s="42"/>
      <x:c r="B176" s="42"/>
      <x:c r="C176" s="42"/>
      <x:c r="D176" s="42"/>
      <x:c r="E176" s="68"/>
      <x:c r="F176" s="68"/>
      <x:c r="G176" s="42"/>
      <x:c r="H176" s="42"/>
      <x:c r="I176" s="42"/>
    </x:row>
    <x:row r="177">
      <x:c r="A177" s="42"/>
      <x:c r="B177" s="42"/>
      <x:c r="C177" s="42"/>
      <x:c r="D177" s="42"/>
      <x:c r="E177" s="68"/>
      <x:c r="F177" s="68"/>
      <x:c r="G177" s="42"/>
      <x:c r="H177" s="42"/>
      <x:c r="I177" s="42"/>
    </x:row>
    <x:row r="178">
      <x:c r="A178" s="42"/>
      <x:c r="B178" s="42"/>
      <x:c r="C178" s="42"/>
      <x:c r="D178" s="42"/>
      <x:c r="E178" s="68"/>
      <x:c r="F178" s="68"/>
      <x:c r="G178" s="42"/>
      <x:c r="H178" s="42"/>
      <x:c r="I178" s="42"/>
    </x:row>
    <x:row r="179">
      <x:c r="A179" s="42"/>
      <x:c r="B179" s="42"/>
      <x:c r="C179" s="42"/>
      <x:c r="D179" s="42"/>
      <x:c r="E179" s="68"/>
      <x:c r="F179" s="68"/>
      <x:c r="G179" s="42"/>
      <x:c r="H179" s="42"/>
      <x:c r="I179" s="42"/>
    </x:row>
    <x:row r="180">
      <x:c r="A180" s="42"/>
      <x:c r="B180" s="42"/>
      <x:c r="C180" s="42"/>
      <x:c r="D180" s="42"/>
      <x:c r="E180" s="68"/>
      <x:c r="F180" s="68"/>
      <x:c r="G180" s="42"/>
      <x:c r="H180" s="42"/>
      <x:c r="I180" s="42"/>
    </x:row>
    <x:row r="181">
      <x:c r="A181" s="42"/>
      <x:c r="B181" s="42"/>
      <x:c r="C181" s="42"/>
      <x:c r="D181" s="42"/>
      <x:c r="E181" s="68"/>
      <x:c r="F181" s="68"/>
      <x:c r="G181" s="42"/>
      <x:c r="H181" s="42"/>
      <x:c r="I181" s="42"/>
    </x:row>
    <x:row r="182">
      <x:c r="A182" s="42"/>
      <x:c r="B182" s="42"/>
      <x:c r="C182" s="42"/>
      <x:c r="D182" s="42"/>
      <x:c r="E182" s="68"/>
      <x:c r="F182" s="68"/>
      <x:c r="G182" s="42"/>
      <x:c r="H182" s="42"/>
      <x:c r="I182" s="42"/>
    </x:row>
    <x:row r="183">
      <x:c r="A183" s="42"/>
      <x:c r="B183" s="42"/>
      <x:c r="C183" s="42"/>
      <x:c r="D183" s="42"/>
      <x:c r="E183" s="68"/>
      <x:c r="F183" s="68"/>
      <x:c r="G183" s="42"/>
      <x:c r="H183" s="42"/>
      <x:c r="I183" s="42"/>
    </x:row>
    <x:row r="184">
      <x:c r="A184" s="42"/>
      <x:c r="B184" s="42"/>
      <x:c r="C184" s="42"/>
      <x:c r="D184" s="42"/>
      <x:c r="E184" s="68"/>
      <x:c r="F184" s="68"/>
      <x:c r="G184" s="42"/>
      <x:c r="H184" s="42"/>
      <x:c r="I184" s="42"/>
    </x:row>
    <x:row r="185">
      <x:c r="A185" s="42"/>
      <x:c r="B185" s="42"/>
      <x:c r="C185" s="42"/>
      <x:c r="D185" s="42"/>
      <x:c r="E185" s="68"/>
      <x:c r="F185" s="68"/>
      <x:c r="G185" s="42"/>
      <x:c r="H185" s="42"/>
      <x:c r="I185" s="42"/>
    </x:row>
    <x:row r="186">
      <x:c r="A186" s="42"/>
      <x:c r="B186" s="42"/>
      <x:c r="C186" s="42"/>
      <x:c r="D186" s="42"/>
      <x:c r="E186" s="68"/>
      <x:c r="F186" s="68"/>
      <x:c r="G186" s="42"/>
      <x:c r="H186" s="42"/>
      <x:c r="I186" s="42"/>
    </x:row>
    <x:row r="187">
      <x:c r="A187" s="42"/>
      <x:c r="B187" s="42"/>
      <x:c r="C187" s="42"/>
      <x:c r="D187" s="42"/>
      <x:c r="E187" s="68"/>
      <x:c r="F187" s="68"/>
      <x:c r="G187" s="42"/>
      <x:c r="H187" s="42"/>
      <x:c r="I187" s="42"/>
    </x:row>
    <x:row r="188">
      <x:c r="A188" s="42"/>
      <x:c r="B188" s="42"/>
      <x:c r="C188" s="42"/>
      <x:c r="D188" s="42"/>
      <x:c r="E188" s="68"/>
      <x:c r="F188" s="68"/>
      <x:c r="G188" s="42"/>
      <x:c r="H188" s="42"/>
      <x:c r="I188" s="42"/>
    </x:row>
    <x:row r="189">
      <x:c r="A189" s="42"/>
      <x:c r="B189" s="42"/>
      <x:c r="C189" s="42"/>
      <x:c r="D189" s="42"/>
      <x:c r="E189" s="68"/>
      <x:c r="F189" s="68"/>
      <x:c r="G189" s="42"/>
      <x:c r="H189" s="42"/>
      <x:c r="I189" s="42"/>
    </x:row>
    <x:row r="190">
      <x:c r="A190" s="42"/>
      <x:c r="B190" s="42"/>
      <x:c r="C190" s="42"/>
      <x:c r="D190" s="42"/>
      <x:c r="E190" s="68"/>
      <x:c r="F190" s="68"/>
      <x:c r="G190" s="42"/>
      <x:c r="H190" s="42"/>
      <x:c r="I190" s="42"/>
    </x:row>
    <x:row r="191">
      <x:c r="A191" s="42"/>
      <x:c r="B191" s="42"/>
      <x:c r="C191" s="42"/>
      <x:c r="D191" s="42"/>
      <x:c r="E191" s="68"/>
      <x:c r="F191" s="68"/>
      <x:c r="G191" s="42"/>
      <x:c r="H191" s="42"/>
      <x:c r="I191" s="42"/>
    </x:row>
    <x:row r="192">
      <x:c r="A192" s="42"/>
      <x:c r="B192" s="42"/>
      <x:c r="C192" s="42"/>
      <x:c r="D192" s="42"/>
      <x:c r="E192" s="68"/>
      <x:c r="F192" s="68"/>
      <x:c r="G192" s="42"/>
      <x:c r="H192" s="42"/>
      <x:c r="I192" s="42"/>
    </x:row>
    <x:row r="193">
      <x:c r="A193" s="42"/>
      <x:c r="B193" s="42"/>
      <x:c r="C193" s="42"/>
      <x:c r="D193" s="42"/>
      <x:c r="E193" s="68"/>
      <x:c r="F193" s="68"/>
      <x:c r="G193" s="42"/>
      <x:c r="H193" s="42"/>
      <x:c r="I193" s="42"/>
    </x:row>
    <x:row r="194">
      <x:c r="A194" s="42"/>
      <x:c r="B194" s="42"/>
      <x:c r="C194" s="42"/>
      <x:c r="D194" s="42"/>
      <x:c r="E194" s="68"/>
      <x:c r="F194" s="68"/>
      <x:c r="G194" s="42"/>
      <x:c r="H194" s="42"/>
      <x:c r="I194" s="42"/>
    </x:row>
    <x:row r="195">
      <x:c r="A195" s="42"/>
      <x:c r="B195" s="42"/>
      <x:c r="C195" s="42"/>
      <x:c r="D195" s="42"/>
      <x:c r="E195" s="68"/>
      <x:c r="F195" s="68"/>
      <x:c r="G195" s="42"/>
      <x:c r="H195" s="42"/>
      <x:c r="I195" s="42"/>
    </x:row>
    <x:row r="196">
      <x:c r="A196" s="42"/>
      <x:c r="B196" s="42"/>
      <x:c r="C196" s="42"/>
      <x:c r="D196" s="42"/>
      <x:c r="E196" s="68"/>
      <x:c r="F196" s="68"/>
      <x:c r="G196" s="42"/>
      <x:c r="H196" s="42"/>
      <x:c r="I196" s="42"/>
    </x:row>
    <x:row r="197">
      <x:c r="A197" s="42"/>
      <x:c r="B197" s="42"/>
      <x:c r="C197" s="42"/>
      <x:c r="D197" s="42"/>
      <x:c r="E197" s="68"/>
      <x:c r="F197" s="68"/>
      <x:c r="G197" s="42"/>
      <x:c r="H197" s="42"/>
      <x:c r="I197" s="42"/>
    </x:row>
    <x:row r="198">
      <x:c r="A198" s="42"/>
      <x:c r="B198" s="42"/>
      <x:c r="C198" s="42"/>
      <x:c r="D198" s="42"/>
      <x:c r="E198" s="68"/>
      <x:c r="F198" s="68"/>
      <x:c r="G198" s="42"/>
      <x:c r="H198" s="42"/>
      <x:c r="I198" s="42"/>
    </x:row>
    <x:row r="199">
      <x:c r="A199" s="42"/>
      <x:c r="B199" s="42"/>
      <x:c r="C199" s="42"/>
      <x:c r="D199" s="42"/>
      <x:c r="E199" s="68"/>
      <x:c r="F199" s="68"/>
      <x:c r="G199" s="42"/>
      <x:c r="H199" s="42"/>
      <x:c r="I199" s="42"/>
    </x:row>
    <x:row r="200">
      <x:c r="A200" s="42"/>
      <x:c r="B200" s="42"/>
      <x:c r="C200" s="42"/>
      <x:c r="D200" s="42"/>
      <x:c r="E200" s="68"/>
      <x:c r="F200" s="68"/>
      <x:c r="G200" s="42"/>
      <x:c r="H200" s="42"/>
      <x:c r="I200" s="42"/>
    </x:row>
    <x:row r="201">
      <x:c r="A201" s="42"/>
      <x:c r="B201" s="42"/>
      <x:c r="C201" s="42"/>
      <x:c r="D201" s="42"/>
      <x:c r="E201" s="68"/>
      <x:c r="F201" s="68"/>
      <x:c r="G201" s="42"/>
      <x:c r="H201" s="42"/>
      <x:c r="I201" s="42"/>
    </x:row>
    <x:row r="202">
      <x:c r="A202" s="42"/>
      <x:c r="B202" s="42"/>
      <x:c r="C202" s="42"/>
      <x:c r="D202" s="42"/>
      <x:c r="E202" s="68"/>
      <x:c r="F202" s="68"/>
      <x:c r="G202" s="42"/>
      <x:c r="H202" s="42"/>
      <x:c r="I202" s="42"/>
    </x:row>
    <x:row r="203">
      <x:c r="A203" s="42"/>
      <x:c r="B203" s="42"/>
      <x:c r="C203" s="42"/>
      <x:c r="D203" s="42"/>
      <x:c r="E203" s="68"/>
      <x:c r="F203" s="68"/>
      <x:c r="G203" s="42"/>
      <x:c r="H203" s="42"/>
      <x:c r="I203" s="42"/>
    </x:row>
    <x:row r="204">
      <x:c r="A204" s="42"/>
      <x:c r="B204" s="42"/>
      <x:c r="C204" s="42"/>
      <x:c r="D204" s="42"/>
      <x:c r="E204" s="68"/>
      <x:c r="F204" s="68"/>
      <x:c r="G204" s="42"/>
      <x:c r="H204" s="42"/>
      <x:c r="I204" s="42"/>
    </x:row>
    <x:row r="205">
      <x:c r="A205" s="42"/>
      <x:c r="B205" s="42"/>
      <x:c r="C205" s="42"/>
      <x:c r="D205" s="42"/>
      <x:c r="E205" s="68"/>
      <x:c r="F205" s="68"/>
      <x:c r="G205" s="42"/>
      <x:c r="H205" s="42"/>
      <x:c r="I205" s="42"/>
    </x:row>
    <x:row r="206">
      <x:c r="A206" s="42"/>
      <x:c r="B206" s="42"/>
      <x:c r="C206" s="42"/>
      <x:c r="D206" s="42"/>
      <x:c r="E206" s="68"/>
      <x:c r="F206" s="68"/>
      <x:c r="G206" s="42"/>
      <x:c r="H206" s="42"/>
      <x:c r="I206" s="42"/>
    </x:row>
    <x:row r="207">
      <x:c r="A207" s="42"/>
      <x:c r="B207" s="42"/>
      <x:c r="C207" s="42"/>
      <x:c r="D207" s="42"/>
      <x:c r="E207" s="68"/>
      <x:c r="F207" s="68"/>
      <x:c r="G207" s="42"/>
      <x:c r="H207" s="42"/>
      <x:c r="I207" s="42"/>
    </x:row>
    <x:row r="208">
      <x:c r="A208" s="42"/>
      <x:c r="B208" s="42"/>
      <x:c r="C208" s="42"/>
      <x:c r="D208" s="42"/>
      <x:c r="E208" s="68"/>
      <x:c r="F208" s="68"/>
      <x:c r="G208" s="42"/>
      <x:c r="H208" s="42"/>
      <x:c r="I208" s="42"/>
    </x:row>
    <x:row r="209">
      <x:c r="A209" s="42"/>
      <x:c r="B209" s="42"/>
      <x:c r="C209" s="42"/>
      <x:c r="D209" s="42"/>
      <x:c r="E209" s="68"/>
      <x:c r="F209" s="68"/>
      <x:c r="G209" s="42"/>
      <x:c r="H209" s="42"/>
      <x:c r="I209" s="42"/>
    </x:row>
    <x:row r="210">
      <x:c r="A210" s="42"/>
      <x:c r="B210" s="42"/>
      <x:c r="C210" s="42"/>
      <x:c r="D210" s="42"/>
      <x:c r="E210" s="68"/>
      <x:c r="F210" s="68"/>
      <x:c r="G210" s="42"/>
      <x:c r="H210" s="42"/>
      <x:c r="I210" s="42"/>
    </x:row>
    <x:row r="211">
      <x:c r="A211" s="42"/>
      <x:c r="B211" s="42"/>
      <x:c r="C211" s="42"/>
      <x:c r="D211" s="42"/>
      <x:c r="E211" s="68"/>
      <x:c r="F211" s="68"/>
      <x:c r="G211" s="42"/>
      <x:c r="H211" s="42"/>
      <x:c r="I211" s="42"/>
    </x:row>
    <x:row r="212">
      <x:c r="A212" s="42"/>
      <x:c r="B212" s="42"/>
      <x:c r="C212" s="42"/>
      <x:c r="D212" s="42"/>
      <x:c r="E212" s="68"/>
      <x:c r="F212" s="68"/>
      <x:c r="G212" s="42"/>
      <x:c r="H212" s="42"/>
      <x:c r="I212" s="42"/>
    </x:row>
    <x:row r="213">
      <x:c r="A213" s="42"/>
      <x:c r="B213" s="42"/>
      <x:c r="C213" s="42"/>
      <x:c r="D213" s="42"/>
      <x:c r="E213" s="68"/>
      <x:c r="F213" s="68"/>
      <x:c r="G213" s="42"/>
      <x:c r="H213" s="42"/>
      <x:c r="I213" s="42"/>
    </x:row>
    <x:row r="214">
      <x:c r="A214" s="42"/>
      <x:c r="B214" s="42"/>
      <x:c r="C214" s="42"/>
      <x:c r="D214" s="42"/>
      <x:c r="E214" s="68"/>
      <x:c r="F214" s="68"/>
      <x:c r="G214" s="42"/>
      <x:c r="H214" s="42"/>
      <x:c r="I214" s="42"/>
    </x:row>
    <x:row r="215">
      <x:c r="A215" s="42"/>
      <x:c r="B215" s="42"/>
      <x:c r="C215" s="42"/>
      <x:c r="D215" s="42"/>
      <x:c r="E215" s="68"/>
      <x:c r="F215" s="68"/>
      <x:c r="G215" s="42"/>
      <x:c r="H215" s="42"/>
      <x:c r="I215" s="42"/>
    </x:row>
    <x:row r="216">
      <x:c r="A216" s="42"/>
      <x:c r="B216" s="42"/>
      <x:c r="C216" s="42"/>
      <x:c r="D216" s="42"/>
      <x:c r="E216" s="68"/>
      <x:c r="F216" s="68"/>
      <x:c r="G216" s="42"/>
      <x:c r="H216" s="42"/>
      <x:c r="I216" s="42"/>
    </x:row>
    <x:row r="217">
      <x:c r="A217" s="42"/>
      <x:c r="B217" s="42"/>
      <x:c r="C217" s="42"/>
      <x:c r="D217" s="42"/>
      <x:c r="E217" s="68"/>
      <x:c r="F217" s="68"/>
      <x:c r="G217" s="42"/>
      <x:c r="H217" s="42"/>
      <x:c r="I217" s="42"/>
    </x:row>
    <x:row r="218">
      <x:c r="A218" s="42"/>
      <x:c r="B218" s="42"/>
      <x:c r="C218" s="42"/>
      <x:c r="D218" s="42"/>
      <x:c r="E218" s="68"/>
      <x:c r="F218" s="68"/>
      <x:c r="G218" s="42"/>
      <x:c r="H218" s="42"/>
      <x:c r="I218" s="42"/>
    </x:row>
    <x:row r="219">
      <x:c r="A219" s="42"/>
      <x:c r="B219" s="42"/>
      <x:c r="C219" s="42"/>
      <x:c r="D219" s="42"/>
      <x:c r="E219" s="68"/>
      <x:c r="F219" s="68"/>
      <x:c r="G219" s="42"/>
      <x:c r="H219" s="42"/>
      <x:c r="I219" s="42"/>
    </x:row>
    <x:row r="220">
      <x:c r="A220" s="42"/>
      <x:c r="B220" s="42"/>
      <x:c r="C220" s="42"/>
      <x:c r="D220" s="42"/>
      <x:c r="E220" s="68"/>
      <x:c r="F220" s="68"/>
      <x:c r="G220" s="42"/>
      <x:c r="H220" s="42"/>
      <x:c r="I220" s="42"/>
    </x:row>
    <x:row r="221">
      <x:c r="A221" s="42"/>
      <x:c r="B221" s="42"/>
      <x:c r="C221" s="42"/>
      <x:c r="D221" s="42"/>
      <x:c r="E221" s="68"/>
      <x:c r="F221" s="68"/>
      <x:c r="G221" s="42"/>
      <x:c r="H221" s="42"/>
      <x:c r="I221" s="42"/>
    </x:row>
    <x:row r="222">
      <x:c r="A222" s="42"/>
      <x:c r="B222" s="42"/>
      <x:c r="C222" s="42"/>
      <x:c r="D222" s="42"/>
      <x:c r="E222" s="68"/>
      <x:c r="F222" s="68"/>
      <x:c r="G222" s="42"/>
      <x:c r="H222" s="42"/>
      <x:c r="I222" s="42"/>
    </x:row>
    <x:row r="223">
      <x:c r="A223" s="42"/>
      <x:c r="B223" s="42"/>
      <x:c r="C223" s="42"/>
      <x:c r="D223" s="42"/>
      <x:c r="E223" s="68"/>
      <x:c r="F223" s="68"/>
      <x:c r="G223" s="42"/>
      <x:c r="H223" s="42"/>
      <x:c r="I223" s="42"/>
    </x:row>
    <x:row r="224">
      <x:c r="A224" s="42"/>
      <x:c r="B224" s="42"/>
      <x:c r="C224" s="42"/>
      <x:c r="D224" s="42"/>
      <x:c r="E224" s="68"/>
      <x:c r="F224" s="68"/>
      <x:c r="G224" s="42"/>
      <x:c r="H224" s="42"/>
      <x:c r="I224" s="42"/>
    </x:row>
    <x:row r="225">
      <x:c r="A225" s="42"/>
      <x:c r="B225" s="42"/>
      <x:c r="C225" s="42"/>
      <x:c r="D225" s="42"/>
      <x:c r="E225" s="68"/>
      <x:c r="F225" s="68"/>
      <x:c r="G225" s="42"/>
      <x:c r="H225" s="42"/>
      <x:c r="I225" s="42"/>
    </x:row>
    <x:row r="226">
      <x:c r="A226" s="42"/>
      <x:c r="B226" s="42"/>
      <x:c r="C226" s="42"/>
      <x:c r="D226" s="42"/>
      <x:c r="E226" s="68"/>
      <x:c r="F226" s="68"/>
      <x:c r="G226" s="42"/>
      <x:c r="H226" s="42"/>
      <x:c r="I226" s="42"/>
    </x:row>
    <x:row r="227">
      <x:c r="A227" s="42"/>
      <x:c r="B227" s="42"/>
      <x:c r="C227" s="42"/>
      <x:c r="D227" s="42"/>
      <x:c r="E227" s="68"/>
      <x:c r="F227" s="68"/>
      <x:c r="G227" s="42"/>
      <x:c r="H227" s="42"/>
      <x:c r="I227" s="42"/>
    </x:row>
    <x:row r="228">
      <x:c r="A228" s="42"/>
      <x:c r="B228" s="42"/>
      <x:c r="C228" s="42"/>
      <x:c r="D228" s="42"/>
      <x:c r="E228" s="68"/>
      <x:c r="F228" s="68"/>
      <x:c r="G228" s="42"/>
      <x:c r="H228" s="42"/>
      <x:c r="I228" s="42"/>
    </x:row>
    <x:row r="229">
      <x:c r="A229" s="42"/>
      <x:c r="B229" s="42"/>
      <x:c r="C229" s="42"/>
      <x:c r="D229" s="42"/>
      <x:c r="E229" s="68"/>
      <x:c r="F229" s="68"/>
      <x:c r="G229" s="42"/>
      <x:c r="H229" s="42"/>
      <x:c r="I229" s="42"/>
    </x:row>
    <x:row r="230">
      <x:c r="A230" s="42"/>
      <x:c r="B230" s="42"/>
      <x:c r="C230" s="42"/>
      <x:c r="D230" s="42"/>
      <x:c r="E230" s="68"/>
      <x:c r="F230" s="68"/>
      <x:c r="G230" s="42"/>
      <x:c r="H230" s="42"/>
      <x:c r="I230" s="42"/>
    </x:row>
    <x:row r="231">
      <x:c r="A231" s="42"/>
      <x:c r="B231" s="42"/>
      <x:c r="C231" s="42"/>
      <x:c r="D231" s="42"/>
      <x:c r="E231" s="68"/>
      <x:c r="F231" s="68"/>
      <x:c r="G231" s="42"/>
      <x:c r="H231" s="42"/>
      <x:c r="I231" s="42"/>
    </x:row>
    <x:row r="232">
      <x:c r="A232" s="42"/>
      <x:c r="B232" s="42"/>
      <x:c r="C232" s="42"/>
      <x:c r="D232" s="42"/>
      <x:c r="E232" s="68"/>
      <x:c r="F232" s="68"/>
      <x:c r="G232" s="42"/>
      <x:c r="H232" s="42"/>
      <x:c r="I232" s="42"/>
    </x:row>
    <x:row r="233">
      <x:c r="A233" s="42"/>
      <x:c r="B233" s="42"/>
      <x:c r="C233" s="42"/>
      <x:c r="D233" s="42"/>
      <x:c r="E233" s="68"/>
      <x:c r="F233" s="68"/>
      <x:c r="G233" s="42"/>
      <x:c r="H233" s="42"/>
      <x:c r="I233" s="42"/>
    </x:row>
    <x:row r="234">
      <x:c r="A234" s="42"/>
      <x:c r="B234" s="42"/>
      <x:c r="C234" s="42"/>
      <x:c r="D234" s="42"/>
      <x:c r="E234" s="68"/>
      <x:c r="F234" s="68"/>
      <x:c r="G234" s="42"/>
      <x:c r="H234" s="42"/>
      <x:c r="I234" s="42"/>
    </x:row>
    <x:row r="235">
      <x:c r="A235" s="42"/>
      <x:c r="B235" s="42"/>
      <x:c r="C235" s="42"/>
      <x:c r="D235" s="42"/>
      <x:c r="E235" s="68"/>
      <x:c r="F235" s="68"/>
      <x:c r="G235" s="42"/>
      <x:c r="H235" s="42"/>
      <x:c r="I235" s="42"/>
    </x:row>
    <x:row r="236">
      <x:c r="A236" s="42"/>
      <x:c r="B236" s="42"/>
      <x:c r="C236" s="42"/>
      <x:c r="D236" s="42"/>
      <x:c r="E236" s="68"/>
      <x:c r="F236" s="68"/>
      <x:c r="G236" s="42"/>
      <x:c r="H236" s="42"/>
      <x:c r="I236" s="42"/>
    </x:row>
    <x:row r="237">
      <x:c r="A237" s="42"/>
      <x:c r="B237" s="42"/>
      <x:c r="C237" s="42"/>
      <x:c r="D237" s="42"/>
      <x:c r="E237" s="68"/>
      <x:c r="F237" s="68"/>
      <x:c r="G237" s="42"/>
      <x:c r="H237" s="42"/>
      <x:c r="I237" s="42"/>
    </x:row>
    <x:row r="238">
      <x:c r="A238" s="42"/>
      <x:c r="B238" s="42"/>
      <x:c r="C238" s="42"/>
      <x:c r="D238" s="42"/>
      <x:c r="E238" s="68"/>
      <x:c r="F238" s="68"/>
      <x:c r="G238" s="42"/>
      <x:c r="H238" s="42"/>
      <x:c r="I238" s="42"/>
    </x:row>
    <x:row r="239">
      <x:c r="A239" s="42"/>
      <x:c r="B239" s="42"/>
      <x:c r="C239" s="42"/>
      <x:c r="D239" s="42"/>
      <x:c r="E239" s="68"/>
      <x:c r="F239" s="68"/>
      <x:c r="G239" s="42"/>
      <x:c r="H239" s="42"/>
      <x:c r="I239" s="42"/>
    </x:row>
    <x:row r="240">
      <x:c r="A240" s="42"/>
      <x:c r="B240" s="42"/>
      <x:c r="C240" s="42"/>
      <x:c r="D240" s="42"/>
      <x:c r="E240" s="68"/>
      <x:c r="F240" s="68"/>
      <x:c r="G240" s="42"/>
      <x:c r="H240" s="42"/>
      <x:c r="I240" s="42"/>
    </x:row>
    <x:row r="241">
      <x:c r="A241" s="42"/>
      <x:c r="B241" s="42"/>
      <x:c r="C241" s="42"/>
      <x:c r="D241" s="42"/>
      <x:c r="E241" s="68"/>
      <x:c r="F241" s="68"/>
      <x:c r="G241" s="42"/>
      <x:c r="H241" s="42"/>
      <x:c r="I241" s="42"/>
    </x:row>
    <x:row r="242">
      <x:c r="A242" s="42"/>
      <x:c r="B242" s="42"/>
      <x:c r="C242" s="42"/>
      <x:c r="D242" s="42"/>
      <x:c r="E242" s="68"/>
      <x:c r="F242" s="68"/>
      <x:c r="G242" s="42"/>
      <x:c r="H242" s="42"/>
      <x:c r="I242" s="42"/>
    </x:row>
    <x:row r="243">
      <x:c r="A243" s="42"/>
      <x:c r="B243" s="42"/>
      <x:c r="C243" s="42"/>
      <x:c r="D243" s="42"/>
      <x:c r="E243" s="68"/>
      <x:c r="F243" s="68"/>
      <x:c r="G243" s="42"/>
      <x:c r="H243" s="42"/>
      <x:c r="I243" s="42"/>
    </x:row>
    <x:row r="244">
      <x:c r="A244" s="42"/>
      <x:c r="B244" s="42"/>
      <x:c r="C244" s="42"/>
      <x:c r="D244" s="42"/>
      <x:c r="E244" s="68"/>
      <x:c r="F244" s="68"/>
      <x:c r="G244" s="42"/>
      <x:c r="H244" s="42"/>
      <x:c r="I244" s="42"/>
    </x:row>
    <x:row r="245">
      <x:c r="A245" s="42"/>
      <x:c r="B245" s="42"/>
      <x:c r="C245" s="42"/>
      <x:c r="D245" s="42"/>
      <x:c r="E245" s="68"/>
      <x:c r="F245" s="68"/>
      <x:c r="G245" s="42"/>
      <x:c r="H245" s="42"/>
      <x:c r="I245" s="42"/>
    </x:row>
    <x:row r="246">
      <x:c r="A246" s="42"/>
      <x:c r="B246" s="42"/>
      <x:c r="C246" s="42"/>
      <x:c r="D246" s="42"/>
      <x:c r="E246" s="68"/>
      <x:c r="F246" s="68"/>
      <x:c r="G246" s="42"/>
      <x:c r="H246" s="42"/>
      <x:c r="I246" s="42"/>
    </x:row>
    <x:row r="247">
      <x:c r="A247" s="42"/>
      <x:c r="B247" s="42"/>
      <x:c r="C247" s="42"/>
      <x:c r="D247" s="42"/>
      <x:c r="E247" s="68"/>
      <x:c r="F247" s="68"/>
      <x:c r="G247" s="42"/>
      <x:c r="H247" s="42"/>
      <x:c r="I247" s="42"/>
    </x:row>
    <x:row r="248">
      <x:c r="A248" s="42"/>
      <x:c r="B248" s="42"/>
      <x:c r="C248" s="42"/>
      <x:c r="D248" s="42"/>
      <x:c r="E248" s="68"/>
      <x:c r="F248" s="68"/>
      <x:c r="G248" s="42"/>
      <x:c r="H248" s="42"/>
      <x:c r="I248" s="42"/>
    </x:row>
    <x:row r="249">
      <x:c r="A249" s="42"/>
      <x:c r="B249" s="42"/>
      <x:c r="C249" s="42"/>
      <x:c r="D249" s="42"/>
      <x:c r="E249" s="68"/>
      <x:c r="F249" s="68"/>
      <x:c r="G249" s="42"/>
      <x:c r="H249" s="42"/>
      <x:c r="I249" s="42"/>
    </x:row>
    <x:row r="250">
      <x:c r="A250" s="42"/>
      <x:c r="B250" s="42"/>
      <x:c r="C250" s="42"/>
      <x:c r="D250" s="42"/>
      <x:c r="E250" s="68"/>
      <x:c r="F250" s="68"/>
      <x:c r="G250" s="42"/>
      <x:c r="H250" s="42"/>
      <x:c r="I250" s="42"/>
    </x:row>
    <x:row r="251">
      <x:c r="A251" s="42"/>
      <x:c r="B251" s="42"/>
      <x:c r="C251" s="42"/>
      <x:c r="D251" s="42"/>
      <x:c r="E251" s="68"/>
      <x:c r="F251" s="68"/>
      <x:c r="G251" s="42"/>
      <x:c r="H251" s="42"/>
      <x:c r="I251" s="42"/>
    </x:row>
    <x:row r="252">
      <x:c r="A252" s="42"/>
      <x:c r="B252" s="42"/>
      <x:c r="C252" s="42"/>
      <x:c r="D252" s="42"/>
      <x:c r="E252" s="68"/>
      <x:c r="F252" s="68"/>
      <x:c r="G252" s="42"/>
      <x:c r="H252" s="42"/>
      <x:c r="I252" s="42"/>
    </x:row>
    <x:row r="253">
      <x:c r="A253" s="42"/>
      <x:c r="B253" s="42"/>
      <x:c r="C253" s="42"/>
      <x:c r="D253" s="42"/>
      <x:c r="E253" s="68"/>
      <x:c r="F253" s="68"/>
      <x:c r="G253" s="42"/>
      <x:c r="H253" s="42"/>
      <x:c r="I253" s="42"/>
    </x:row>
    <x:row r="254">
      <x:c r="A254" s="42"/>
      <x:c r="B254" s="42"/>
      <x:c r="C254" s="42"/>
      <x:c r="D254" s="42"/>
      <x:c r="E254" s="68"/>
      <x:c r="F254" s="68"/>
      <x:c r="G254" s="42"/>
      <x:c r="H254" s="42"/>
      <x:c r="I254" s="42"/>
    </x:row>
    <x:row r="255">
      <x:c r="A255" s="42"/>
      <x:c r="B255" s="42"/>
      <x:c r="C255" s="42"/>
      <x:c r="D255" s="42"/>
      <x:c r="E255" s="68"/>
      <x:c r="F255" s="68"/>
      <x:c r="G255" s="42"/>
      <x:c r="H255" s="42"/>
      <x:c r="I255" s="42"/>
    </x:row>
    <x:row r="256">
      <x:c r="A256" s="42"/>
      <x:c r="B256" s="42"/>
      <x:c r="C256" s="42"/>
      <x:c r="D256" s="42"/>
      <x:c r="E256" s="68"/>
      <x:c r="F256" s="68"/>
      <x:c r="G256" s="42"/>
      <x:c r="H256" s="42"/>
      <x:c r="I256" s="42"/>
    </x:row>
    <x:row r="257">
      <x:c r="A257" s="42"/>
      <x:c r="B257" s="42"/>
      <x:c r="C257" s="42"/>
      <x:c r="D257" s="42"/>
      <x:c r="E257" s="68"/>
      <x:c r="F257" s="68"/>
      <x:c r="G257" s="42"/>
      <x:c r="H257" s="42"/>
      <x:c r="I257" s="42"/>
    </x:row>
    <x:row r="258">
      <x:c r="A258" s="42"/>
      <x:c r="B258" s="42"/>
      <x:c r="C258" s="42"/>
      <x:c r="D258" s="42"/>
      <x:c r="E258" s="68"/>
      <x:c r="F258" s="68"/>
      <x:c r="G258" s="42"/>
      <x:c r="H258" s="42"/>
      <x:c r="I258" s="42"/>
    </x:row>
    <x:row r="259">
      <x:c r="A259" s="42"/>
      <x:c r="B259" s="42"/>
      <x:c r="C259" s="42"/>
      <x:c r="D259" s="42"/>
      <x:c r="E259" s="68"/>
      <x:c r="F259" s="68"/>
      <x:c r="G259" s="42"/>
      <x:c r="H259" s="42"/>
      <x:c r="I259" s="42"/>
    </x:row>
    <x:row r="260">
      <x:c r="A260" s="42"/>
      <x:c r="B260" s="42"/>
      <x:c r="C260" s="42"/>
      <x:c r="D260" s="42"/>
      <x:c r="E260" s="68"/>
      <x:c r="F260" s="68"/>
      <x:c r="G260" s="42"/>
      <x:c r="H260" s="42"/>
      <x:c r="I260" s="42"/>
    </x:row>
    <x:row r="261">
      <x:c r="A261" s="42"/>
      <x:c r="B261" s="42"/>
      <x:c r="C261" s="42"/>
      <x:c r="D261" s="42"/>
      <x:c r="E261" s="68"/>
      <x:c r="F261" s="68"/>
      <x:c r="G261" s="42"/>
      <x:c r="H261" s="42"/>
      <x:c r="I261" s="42"/>
    </x:row>
    <x:row r="262">
      <x:c r="A262" s="42"/>
      <x:c r="B262" s="42"/>
      <x:c r="C262" s="42"/>
      <x:c r="D262" s="42"/>
      <x:c r="E262" s="68"/>
      <x:c r="F262" s="68"/>
      <x:c r="G262" s="42"/>
      <x:c r="H262" s="42"/>
      <x:c r="I262" s="42"/>
    </x:row>
    <x:row r="263">
      <x:c r="A263" s="42"/>
      <x:c r="B263" s="42"/>
      <x:c r="C263" s="42"/>
      <x:c r="D263" s="42"/>
      <x:c r="E263" s="68"/>
      <x:c r="F263" s="68"/>
      <x:c r="G263" s="42"/>
      <x:c r="H263" s="42"/>
      <x:c r="I263" s="42"/>
    </x:row>
    <x:row r="264">
      <x:c r="A264" s="42"/>
      <x:c r="B264" s="42"/>
      <x:c r="C264" s="42"/>
      <x:c r="D264" s="42"/>
      <x:c r="E264" s="68"/>
      <x:c r="F264" s="68"/>
      <x:c r="G264" s="42"/>
      <x:c r="H264" s="42"/>
      <x:c r="I264" s="42"/>
    </x:row>
    <x:row r="265">
      <x:c r="A265" s="42"/>
      <x:c r="B265" s="42"/>
      <x:c r="C265" s="42"/>
      <x:c r="D265" s="42"/>
      <x:c r="E265" s="68"/>
      <x:c r="F265" s="68"/>
      <x:c r="G265" s="42"/>
      <x:c r="H265" s="42"/>
      <x:c r="I265" s="42"/>
    </x:row>
    <x:row r="266">
      <x:c r="A266" s="42"/>
      <x:c r="B266" s="42"/>
      <x:c r="C266" s="42"/>
      <x:c r="D266" s="42"/>
      <x:c r="E266" s="68"/>
      <x:c r="F266" s="68"/>
      <x:c r="G266" s="42"/>
      <x:c r="H266" s="42"/>
      <x:c r="I266" s="42"/>
    </x:row>
    <x:row r="267">
      <x:c r="A267" s="42"/>
      <x:c r="B267" s="42"/>
      <x:c r="C267" s="42"/>
      <x:c r="D267" s="42"/>
      <x:c r="E267" s="68"/>
      <x:c r="F267" s="68"/>
      <x:c r="G267" s="42"/>
      <x:c r="H267" s="42"/>
      <x:c r="I267" s="42"/>
    </x:row>
    <x:row r="268">
      <x:c r="A268" s="42"/>
      <x:c r="B268" s="42"/>
      <x:c r="C268" s="42"/>
      <x:c r="D268" s="42"/>
      <x:c r="E268" s="68"/>
      <x:c r="F268" s="68"/>
      <x:c r="G268" s="42"/>
      <x:c r="H268" s="42"/>
      <x:c r="I268" s="42"/>
    </x:row>
    <x:row r="269">
      <x:c r="A269" s="42"/>
      <x:c r="B269" s="42"/>
      <x:c r="C269" s="42"/>
      <x:c r="D269" s="42"/>
      <x:c r="E269" s="68"/>
      <x:c r="F269" s="68"/>
      <x:c r="G269" s="42"/>
      <x:c r="H269" s="42"/>
      <x:c r="I269" s="42"/>
    </x:row>
    <x:row r="270">
      <x:c r="A270" s="42"/>
      <x:c r="B270" s="42"/>
      <x:c r="C270" s="42"/>
      <x:c r="D270" s="42"/>
      <x:c r="E270" s="68"/>
      <x:c r="F270" s="68"/>
      <x:c r="G270" s="42"/>
      <x:c r="H270" s="42"/>
      <x:c r="I270" s="42"/>
    </x:row>
    <x:row r="271">
      <x:c r="A271" s="42"/>
      <x:c r="B271" s="42"/>
      <x:c r="C271" s="42"/>
      <x:c r="D271" s="42"/>
      <x:c r="E271" s="68"/>
      <x:c r="F271" s="68"/>
      <x:c r="G271" s="42"/>
      <x:c r="H271" s="42"/>
      <x:c r="I271" s="42"/>
    </x:row>
    <x:row r="272">
      <x:c r="A272" s="42"/>
      <x:c r="B272" s="42"/>
      <x:c r="C272" s="42"/>
      <x:c r="D272" s="42"/>
      <x:c r="E272" s="68"/>
      <x:c r="F272" s="68"/>
      <x:c r="G272" s="42"/>
      <x:c r="H272" s="42"/>
      <x:c r="I272" s="42"/>
    </x:row>
    <x:row r="273">
      <x:c r="A273" s="42"/>
      <x:c r="B273" s="42"/>
      <x:c r="C273" s="42"/>
      <x:c r="D273" s="42"/>
      <x:c r="E273" s="68"/>
      <x:c r="F273" s="68"/>
      <x:c r="G273" s="42"/>
      <x:c r="H273" s="42"/>
      <x:c r="I273" s="42"/>
    </x:row>
    <x:row r="274">
      <x:c r="A274" s="42"/>
      <x:c r="B274" s="42"/>
      <x:c r="C274" s="42"/>
      <x:c r="D274" s="42"/>
      <x:c r="E274" s="68"/>
      <x:c r="F274" s="68"/>
      <x:c r="G274" s="42"/>
      <x:c r="H274" s="42"/>
      <x:c r="I274" s="42"/>
    </x:row>
    <x:row r="275">
      <x:c r="A275" s="42"/>
      <x:c r="B275" s="42"/>
      <x:c r="C275" s="42"/>
      <x:c r="D275" s="42"/>
      <x:c r="E275" s="68"/>
      <x:c r="F275" s="68"/>
      <x:c r="G275" s="42"/>
      <x:c r="H275" s="42"/>
      <x:c r="I275" s="42"/>
    </x:row>
    <x:row r="276">
      <x:c r="A276" s="42"/>
      <x:c r="B276" s="42"/>
      <x:c r="C276" s="42"/>
      <x:c r="D276" s="42"/>
      <x:c r="E276" s="68"/>
      <x:c r="F276" s="68"/>
      <x:c r="G276" s="42"/>
      <x:c r="H276" s="42"/>
      <x:c r="I276" s="42"/>
    </x:row>
    <x:row r="277">
      <x:c r="A277" s="42"/>
      <x:c r="B277" s="42"/>
      <x:c r="C277" s="42"/>
      <x:c r="D277" s="42"/>
      <x:c r="E277" s="68"/>
      <x:c r="F277" s="68"/>
      <x:c r="G277" s="42"/>
      <x:c r="H277" s="42"/>
      <x:c r="I277" s="42"/>
    </x:row>
    <x:row r="278">
      <x:c r="A278" s="42"/>
      <x:c r="B278" s="42"/>
      <x:c r="C278" s="42"/>
      <x:c r="D278" s="42"/>
      <x:c r="E278" s="68"/>
      <x:c r="F278" s="68"/>
      <x:c r="G278" s="42"/>
      <x:c r="H278" s="42"/>
      <x:c r="I278" s="42"/>
    </x:row>
    <x:row r="279">
      <x:c r="A279" s="42"/>
      <x:c r="B279" s="42"/>
      <x:c r="C279" s="42"/>
      <x:c r="D279" s="42"/>
      <x:c r="E279" s="68"/>
      <x:c r="F279" s="68"/>
      <x:c r="G279" s="42"/>
      <x:c r="H279" s="42"/>
      <x:c r="I279" s="42"/>
    </x:row>
    <x:row r="280">
      <x:c r="A280" s="42"/>
      <x:c r="B280" s="42"/>
      <x:c r="C280" s="42"/>
      <x:c r="D280" s="42"/>
      <x:c r="E280" s="68"/>
      <x:c r="F280" s="68"/>
      <x:c r="G280" s="42"/>
      <x:c r="H280" s="42"/>
      <x:c r="I280" s="42"/>
    </x:row>
    <x:row r="281">
      <x:c r="A281" s="42"/>
      <x:c r="B281" s="42"/>
      <x:c r="C281" s="42"/>
      <x:c r="D281" s="42"/>
      <x:c r="E281" s="68"/>
      <x:c r="F281" s="68"/>
      <x:c r="G281" s="42"/>
      <x:c r="H281" s="42"/>
      <x:c r="I281" s="42"/>
    </x:row>
    <x:row r="282">
      <x:c r="A282" s="42"/>
      <x:c r="B282" s="42"/>
      <x:c r="C282" s="42"/>
      <x:c r="D282" s="42"/>
      <x:c r="E282" s="68"/>
      <x:c r="F282" s="68"/>
      <x:c r="G282" s="42"/>
      <x:c r="H282" s="42"/>
      <x:c r="I282" s="42"/>
    </x:row>
    <x:row r="283">
      <x:c r="A283" s="42"/>
      <x:c r="B283" s="42"/>
      <x:c r="C283" s="42"/>
      <x:c r="D283" s="42"/>
      <x:c r="E283" s="68"/>
      <x:c r="F283" s="68"/>
      <x:c r="G283" s="42"/>
      <x:c r="H283" s="42"/>
      <x:c r="I283" s="42"/>
    </x:row>
    <x:row r="284">
      <x:c r="A284" s="42"/>
      <x:c r="B284" s="42"/>
      <x:c r="C284" s="42"/>
      <x:c r="D284" s="42"/>
      <x:c r="E284" s="68"/>
      <x:c r="F284" s="68"/>
      <x:c r="G284" s="42"/>
      <x:c r="H284" s="42"/>
      <x:c r="I284" s="42"/>
    </x:row>
    <x:row r="285">
      <x:c r="A285" s="42"/>
      <x:c r="B285" s="42"/>
      <x:c r="C285" s="42"/>
      <x:c r="D285" s="42"/>
      <x:c r="E285" s="68"/>
      <x:c r="F285" s="68"/>
      <x:c r="G285" s="42"/>
      <x:c r="H285" s="42"/>
      <x:c r="I285" s="42"/>
    </x:row>
    <x:row r="286">
      <x:c r="A286" s="42"/>
      <x:c r="B286" s="42"/>
      <x:c r="C286" s="42"/>
      <x:c r="D286" s="42"/>
      <x:c r="E286" s="68"/>
      <x:c r="F286" s="68"/>
      <x:c r="G286" s="42"/>
      <x:c r="H286" s="42"/>
      <x:c r="I286" s="42"/>
    </x:row>
    <x:row r="287">
      <x:c r="A287" s="42"/>
      <x:c r="B287" s="42"/>
      <x:c r="C287" s="42"/>
      <x:c r="D287" s="42"/>
      <x:c r="E287" s="68"/>
      <x:c r="F287" s="68"/>
      <x:c r="G287" s="42"/>
      <x:c r="H287" s="42"/>
      <x:c r="I287" s="42"/>
    </x:row>
    <x:row r="288">
      <x:c r="A288" s="42"/>
      <x:c r="B288" s="42"/>
      <x:c r="C288" s="42"/>
      <x:c r="D288" s="42"/>
      <x:c r="E288" s="68"/>
      <x:c r="F288" s="68"/>
      <x:c r="G288" s="42"/>
      <x:c r="H288" s="42"/>
      <x:c r="I288" s="42"/>
    </x:row>
    <x:row r="289">
      <x:c r="A289" s="42"/>
      <x:c r="B289" s="42"/>
      <x:c r="C289" s="42"/>
      <x:c r="D289" s="42"/>
      <x:c r="E289" s="68"/>
      <x:c r="F289" s="68"/>
      <x:c r="G289" s="42"/>
      <x:c r="H289" s="42"/>
      <x:c r="I289" s="42"/>
    </x:row>
    <x:row r="290">
      <x:c r="A290" s="42"/>
      <x:c r="B290" s="42"/>
      <x:c r="C290" s="42"/>
      <x:c r="D290" s="42"/>
      <x:c r="E290" s="68"/>
      <x:c r="F290" s="68"/>
      <x:c r="G290" s="42"/>
      <x:c r="H290" s="42"/>
      <x:c r="I290" s="42"/>
    </x:row>
    <x:row r="291">
      <x:c r="A291" s="42"/>
      <x:c r="B291" s="42"/>
      <x:c r="C291" s="42"/>
      <x:c r="D291" s="42"/>
      <x:c r="E291" s="68"/>
      <x:c r="F291" s="68"/>
      <x:c r="G291" s="42"/>
      <x:c r="H291" s="42"/>
      <x:c r="I291" s="42"/>
    </x:row>
    <x:row r="292">
      <x:c r="A292" s="42"/>
      <x:c r="B292" s="42"/>
      <x:c r="C292" s="42"/>
      <x:c r="D292" s="42"/>
      <x:c r="E292" s="68"/>
      <x:c r="F292" s="68"/>
      <x:c r="G292" s="42"/>
      <x:c r="H292" s="42"/>
      <x:c r="I292" s="42"/>
    </x:row>
    <x:row r="293">
      <x:c r="A293" s="42"/>
      <x:c r="B293" s="42"/>
      <x:c r="C293" s="42"/>
      <x:c r="D293" s="42"/>
      <x:c r="E293" s="68"/>
      <x:c r="F293" s="68"/>
      <x:c r="G293" s="42"/>
      <x:c r="H293" s="42"/>
      <x:c r="I293" s="42"/>
    </x:row>
    <x:row r="294">
      <x:c r="A294" s="42"/>
      <x:c r="B294" s="42"/>
      <x:c r="C294" s="42"/>
      <x:c r="D294" s="42"/>
      <x:c r="E294" s="68"/>
      <x:c r="F294" s="68"/>
      <x:c r="G294" s="42"/>
      <x:c r="H294" s="42"/>
      <x:c r="I294" s="42"/>
    </x:row>
    <x:row r="295">
      <x:c r="A295" s="42"/>
      <x:c r="B295" s="42"/>
      <x:c r="C295" s="42"/>
      <x:c r="D295" s="42"/>
      <x:c r="E295" s="68"/>
      <x:c r="F295" s="68"/>
      <x:c r="G295" s="42"/>
      <x:c r="H295" s="42"/>
      <x:c r="I295" s="42"/>
    </x:row>
    <x:row r="296">
      <x:c r="A296" s="42"/>
      <x:c r="B296" s="42"/>
      <x:c r="C296" s="42"/>
      <x:c r="D296" s="42"/>
      <x:c r="E296" s="68"/>
      <x:c r="F296" s="68"/>
      <x:c r="G296" s="42"/>
      <x:c r="H296" s="42"/>
      <x:c r="I296" s="42"/>
    </x:row>
    <x:row r="297">
      <x:c r="A297" s="42"/>
      <x:c r="B297" s="42"/>
      <x:c r="C297" s="42"/>
      <x:c r="D297" s="42"/>
      <x:c r="E297" s="68"/>
      <x:c r="F297" s="68"/>
      <x:c r="G297" s="42"/>
      <x:c r="H297" s="42"/>
      <x:c r="I297" s="42"/>
    </x:row>
    <x:row r="298">
      <x:c r="A298" s="42"/>
      <x:c r="B298" s="42"/>
      <x:c r="C298" s="42"/>
      <x:c r="D298" s="42"/>
      <x:c r="E298" s="68"/>
      <x:c r="F298" s="68"/>
      <x:c r="G298" s="42"/>
      <x:c r="H298" s="42"/>
      <x:c r="I298" s="42"/>
    </x:row>
    <x:row r="299">
      <x:c r="A299" s="42"/>
      <x:c r="B299" s="42"/>
      <x:c r="C299" s="42"/>
      <x:c r="D299" s="42"/>
      <x:c r="E299" s="68"/>
      <x:c r="F299" s="68"/>
      <x:c r="G299" s="42"/>
      <x:c r="H299" s="42"/>
      <x:c r="I299" s="42"/>
    </x:row>
    <x:row r="300">
      <x:c r="A300" s="42"/>
      <x:c r="B300" s="42"/>
      <x:c r="C300" s="42"/>
      <x:c r="D300" s="42"/>
      <x:c r="E300" s="68"/>
      <x:c r="F300" s="68"/>
      <x:c r="G300" s="42"/>
      <x:c r="H300" s="42"/>
      <x:c r="I300" s="42"/>
    </x:row>
    <x:row r="301">
      <x:c r="A301" s="42"/>
      <x:c r="B301" s="42"/>
      <x:c r="C301" s="42"/>
      <x:c r="D301" s="42"/>
      <x:c r="E301" s="68"/>
      <x:c r="F301" s="68"/>
      <x:c r="G301" s="42"/>
      <x:c r="H301" s="42"/>
      <x:c r="I301" s="42"/>
    </x:row>
    <x:row r="302">
      <x:c r="A302" s="42"/>
      <x:c r="B302" s="42"/>
      <x:c r="C302" s="42"/>
      <x:c r="D302" s="42"/>
      <x:c r="E302" s="68"/>
      <x:c r="F302" s="68"/>
      <x:c r="G302" s="42"/>
      <x:c r="H302" s="42"/>
      <x:c r="I302" s="42"/>
    </x:row>
    <x:row r="303">
      <x:c r="A303" s="42"/>
      <x:c r="B303" s="42"/>
      <x:c r="C303" s="42"/>
      <x:c r="D303" s="42"/>
      <x:c r="E303" s="68"/>
      <x:c r="F303" s="68"/>
      <x:c r="G303" s="42"/>
      <x:c r="H303" s="42"/>
      <x:c r="I303" s="42"/>
    </x:row>
    <x:row r="304">
      <x:c r="A304" s="42"/>
      <x:c r="B304" s="42"/>
      <x:c r="C304" s="42"/>
      <x:c r="D304" s="42"/>
      <x:c r="E304" s="68"/>
      <x:c r="F304" s="68"/>
      <x:c r="G304" s="42"/>
      <x:c r="H304" s="42"/>
      <x:c r="I304" s="42"/>
    </x:row>
    <x:row r="305">
      <x:c r="A305" s="42"/>
      <x:c r="B305" s="42"/>
      <x:c r="C305" s="42"/>
      <x:c r="D305" s="42"/>
      <x:c r="E305" s="68"/>
      <x:c r="F305" s="68"/>
      <x:c r="G305" s="42"/>
      <x:c r="H305" s="42"/>
      <x:c r="I305" s="42"/>
    </x:row>
    <x:row r="306">
      <x:c r="A306" s="42"/>
      <x:c r="B306" s="42"/>
      <x:c r="C306" s="42"/>
      <x:c r="D306" s="42"/>
      <x:c r="E306" s="68"/>
      <x:c r="F306" s="68"/>
      <x:c r="G306" s="42"/>
      <x:c r="H306" s="42"/>
      <x:c r="I306" s="42"/>
    </x:row>
    <x:row r="307">
      <x:c r="A307" s="42"/>
      <x:c r="B307" s="42"/>
      <x:c r="C307" s="42"/>
      <x:c r="D307" s="42"/>
      <x:c r="E307" s="68"/>
      <x:c r="F307" s="68"/>
      <x:c r="G307" s="42"/>
      <x:c r="H307" s="42"/>
      <x:c r="I307" s="42"/>
    </x:row>
    <x:row r="308">
      <x:c r="A308" s="42"/>
      <x:c r="B308" s="42"/>
      <x:c r="C308" s="42"/>
      <x:c r="D308" s="42"/>
      <x:c r="E308" s="68"/>
      <x:c r="F308" s="68"/>
      <x:c r="G308" s="42"/>
      <x:c r="H308" s="42"/>
      <x:c r="I308" s="42"/>
    </x:row>
    <x:row r="309">
      <x:c r="A309" s="42"/>
      <x:c r="B309" s="42"/>
      <x:c r="C309" s="42"/>
      <x:c r="D309" s="42"/>
      <x:c r="E309" s="68"/>
      <x:c r="F309" s="68"/>
      <x:c r="G309" s="42"/>
      <x:c r="H309" s="42"/>
      <x:c r="I309" s="42"/>
    </x:row>
    <x:row r="310">
      <x:c r="A310" s="42"/>
      <x:c r="B310" s="42"/>
      <x:c r="C310" s="42"/>
      <x:c r="D310" s="42"/>
      <x:c r="E310" s="68"/>
      <x:c r="F310" s="68"/>
      <x:c r="G310" s="42"/>
      <x:c r="H310" s="42"/>
      <x:c r="I310" s="42"/>
    </x:row>
    <x:row r="311">
      <x:c r="A311" s="42"/>
      <x:c r="B311" s="42"/>
      <x:c r="C311" s="42"/>
      <x:c r="D311" s="42"/>
      <x:c r="E311" s="68"/>
      <x:c r="F311" s="68"/>
      <x:c r="G311" s="42"/>
      <x:c r="H311" s="42"/>
      <x:c r="I311" s="42"/>
    </x:row>
    <x:row r="312">
      <x:c r="A312" s="42"/>
      <x:c r="B312" s="42"/>
      <x:c r="C312" s="42"/>
      <x:c r="D312" s="42"/>
      <x:c r="E312" s="68"/>
      <x:c r="F312" s="68"/>
      <x:c r="G312" s="42"/>
      <x:c r="H312" s="42"/>
      <x:c r="I312" s="42"/>
    </x:row>
    <x:row r="313">
      <x:c r="A313" s="42"/>
      <x:c r="B313" s="42"/>
      <x:c r="C313" s="42"/>
      <x:c r="D313" s="42"/>
      <x:c r="E313" s="68"/>
      <x:c r="F313" s="68"/>
      <x:c r="G313" s="42"/>
      <x:c r="H313" s="42"/>
      <x:c r="I313" s="42"/>
    </x:row>
    <x:row r="314">
      <x:c r="A314" s="42"/>
      <x:c r="B314" s="42"/>
      <x:c r="C314" s="42"/>
      <x:c r="D314" s="42"/>
      <x:c r="E314" s="68"/>
      <x:c r="F314" s="68"/>
      <x:c r="G314" s="42"/>
      <x:c r="H314" s="42"/>
      <x:c r="I314" s="42"/>
    </x:row>
    <x:row r="315">
      <x:c r="A315" s="42"/>
      <x:c r="B315" s="42"/>
      <x:c r="C315" s="42"/>
      <x:c r="D315" s="42"/>
      <x:c r="E315" s="68"/>
      <x:c r="F315" s="68"/>
      <x:c r="G315" s="42"/>
      <x:c r="H315" s="42"/>
      <x:c r="I315" s="42"/>
    </x:row>
    <x:row r="316">
      <x:c r="A316" s="42"/>
      <x:c r="B316" s="42"/>
      <x:c r="C316" s="42"/>
      <x:c r="D316" s="42"/>
      <x:c r="E316" s="68"/>
      <x:c r="F316" s="68"/>
      <x:c r="G316" s="42"/>
      <x:c r="H316" s="42"/>
      <x:c r="I316" s="42"/>
    </x:row>
    <x:row r="317">
      <x:c r="A317" s="42"/>
      <x:c r="B317" s="42"/>
      <x:c r="C317" s="42"/>
      <x:c r="D317" s="42"/>
      <x:c r="E317" s="68"/>
      <x:c r="F317" s="68"/>
      <x:c r="G317" s="42"/>
      <x:c r="H317" s="42"/>
      <x:c r="I317" s="42"/>
    </x:row>
    <x:row r="318">
      <x:c r="A318" s="42"/>
      <x:c r="B318" s="42"/>
      <x:c r="C318" s="42"/>
      <x:c r="D318" s="42"/>
      <x:c r="E318" s="68"/>
      <x:c r="F318" s="68"/>
      <x:c r="G318" s="42"/>
      <x:c r="H318" s="42"/>
      <x:c r="I318" s="42"/>
    </x:row>
    <x:row r="319">
      <x:c r="A319" s="42"/>
      <x:c r="B319" s="42"/>
      <x:c r="C319" s="42"/>
      <x:c r="D319" s="42"/>
      <x:c r="E319" s="68"/>
      <x:c r="F319" s="68"/>
      <x:c r="G319" s="42"/>
      <x:c r="H319" s="42"/>
      <x:c r="I319" s="42"/>
    </x:row>
    <x:row r="320">
      <x:c r="A320" s="42"/>
      <x:c r="B320" s="42"/>
      <x:c r="C320" s="42"/>
      <x:c r="D320" s="42"/>
      <x:c r="E320" s="68"/>
      <x:c r="F320" s="68"/>
      <x:c r="G320" s="42"/>
      <x:c r="H320" s="42"/>
      <x:c r="I320" s="42"/>
    </x:row>
    <x:row r="321">
      <x:c r="A321" s="42"/>
      <x:c r="B321" s="42"/>
      <x:c r="C321" s="42"/>
      <x:c r="D321" s="42"/>
      <x:c r="E321" s="68"/>
      <x:c r="F321" s="68"/>
      <x:c r="G321" s="42"/>
      <x:c r="H321" s="42"/>
      <x:c r="I321" s="42"/>
    </x:row>
    <x:row r="322">
      <x:c r="A322" s="42"/>
      <x:c r="B322" s="42"/>
      <x:c r="C322" s="42"/>
      <x:c r="D322" s="42"/>
      <x:c r="E322" s="68"/>
      <x:c r="F322" s="68"/>
      <x:c r="G322" s="42"/>
      <x:c r="H322" s="42"/>
      <x:c r="I322" s="42"/>
    </x:row>
    <x:row r="323">
      <x:c r="A323" s="42"/>
      <x:c r="B323" s="42"/>
      <x:c r="C323" s="42"/>
      <x:c r="D323" s="42"/>
      <x:c r="E323" s="68"/>
      <x:c r="F323" s="68"/>
      <x:c r="G323" s="42"/>
      <x:c r="H323" s="42"/>
      <x:c r="I323" s="42"/>
    </x:row>
    <x:row r="324">
      <x:c r="A324" s="42"/>
      <x:c r="B324" s="42"/>
      <x:c r="C324" s="42"/>
      <x:c r="D324" s="42"/>
      <x:c r="E324" s="68"/>
      <x:c r="F324" s="68"/>
      <x:c r="G324" s="42"/>
      <x:c r="H324" s="42"/>
      <x:c r="I324" s="42"/>
    </x:row>
    <x:row r="325">
      <x:c r="A325" s="42"/>
      <x:c r="B325" s="42"/>
      <x:c r="C325" s="42"/>
      <x:c r="D325" s="42"/>
      <x:c r="E325" s="68"/>
      <x:c r="F325" s="68"/>
      <x:c r="G325" s="42"/>
      <x:c r="H325" s="42"/>
      <x:c r="I325" s="42"/>
    </x:row>
    <x:row r="326">
      <x:c r="A326" s="42"/>
      <x:c r="B326" s="42"/>
      <x:c r="C326" s="42"/>
      <x:c r="D326" s="42"/>
      <x:c r="E326" s="68"/>
      <x:c r="F326" s="68"/>
      <x:c r="G326" s="42"/>
      <x:c r="H326" s="42"/>
      <x:c r="I326" s="42"/>
    </x:row>
    <x:row r="327">
      <x:c r="A327" s="42"/>
      <x:c r="B327" s="42"/>
      <x:c r="C327" s="42"/>
      <x:c r="D327" s="42"/>
      <x:c r="E327" s="68"/>
      <x:c r="F327" s="68"/>
      <x:c r="G327" s="42"/>
      <x:c r="H327" s="42"/>
      <x:c r="I327" s="42"/>
    </x:row>
    <x:row r="328">
      <x:c r="A328" s="42"/>
      <x:c r="B328" s="42"/>
      <x:c r="C328" s="42"/>
      <x:c r="D328" s="42"/>
      <x:c r="E328" s="68"/>
      <x:c r="F328" s="68"/>
      <x:c r="G328" s="42"/>
      <x:c r="H328" s="42"/>
      <x:c r="I328" s="42"/>
    </x:row>
    <x:row r="329">
      <x:c r="A329" s="42"/>
      <x:c r="B329" s="42"/>
      <x:c r="C329" s="42"/>
      <x:c r="D329" s="42"/>
      <x:c r="E329" s="68"/>
      <x:c r="F329" s="68"/>
      <x:c r="G329" s="42"/>
      <x:c r="H329" s="42"/>
      <x:c r="I329" s="42"/>
    </x:row>
    <x:row r="330">
      <x:c r="A330" s="42"/>
      <x:c r="B330" s="42"/>
      <x:c r="C330" s="42"/>
      <x:c r="D330" s="42"/>
      <x:c r="E330" s="68"/>
      <x:c r="F330" s="68"/>
      <x:c r="G330" s="42"/>
      <x:c r="H330" s="42"/>
      <x:c r="I330" s="42"/>
    </x:row>
    <x:row r="331">
      <x:c r="A331" s="42"/>
      <x:c r="B331" s="42"/>
      <x:c r="C331" s="42"/>
      <x:c r="D331" s="42"/>
      <x:c r="E331" s="68"/>
      <x:c r="F331" s="68"/>
      <x:c r="G331" s="42"/>
      <x:c r="H331" s="42"/>
      <x:c r="I331" s="42"/>
    </x:row>
    <x:row r="332">
      <x:c r="A332" s="42"/>
      <x:c r="B332" s="42"/>
      <x:c r="C332" s="42"/>
      <x:c r="D332" s="42"/>
      <x:c r="E332" s="68"/>
      <x:c r="F332" s="68"/>
      <x:c r="G332" s="42"/>
      <x:c r="H332" s="42"/>
      <x:c r="I332" s="42"/>
    </x:row>
    <x:row r="333">
      <x:c r="A333" s="42"/>
      <x:c r="B333" s="42"/>
      <x:c r="C333" s="42"/>
      <x:c r="D333" s="42"/>
      <x:c r="E333" s="68"/>
      <x:c r="F333" s="68"/>
      <x:c r="G333" s="42"/>
      <x:c r="H333" s="42"/>
      <x:c r="I333" s="42"/>
    </x:row>
    <x:row r="334">
      <x:c r="A334" s="42"/>
      <x:c r="B334" s="42"/>
      <x:c r="C334" s="42"/>
      <x:c r="D334" s="42"/>
      <x:c r="E334" s="68"/>
      <x:c r="F334" s="68"/>
      <x:c r="G334" s="42"/>
      <x:c r="H334" s="42"/>
      <x:c r="I334" s="42"/>
    </x:row>
    <x:row r="335">
      <x:c r="A335" s="42"/>
      <x:c r="B335" s="42"/>
      <x:c r="C335" s="42"/>
      <x:c r="D335" s="42"/>
      <x:c r="E335" s="68"/>
      <x:c r="F335" s="68"/>
      <x:c r="G335" s="42"/>
      <x:c r="H335" s="42"/>
      <x:c r="I335" s="42"/>
    </x:row>
    <x:row r="336">
      <x:c r="A336" s="42"/>
      <x:c r="B336" s="42"/>
      <x:c r="C336" s="42"/>
      <x:c r="D336" s="42"/>
      <x:c r="E336" s="68"/>
      <x:c r="F336" s="68"/>
      <x:c r="G336" s="42"/>
      <x:c r="H336" s="42"/>
      <x:c r="I336" s="42"/>
    </x:row>
    <x:row r="337">
      <x:c r="A337" s="42"/>
      <x:c r="B337" s="42"/>
      <x:c r="C337" s="42"/>
      <x:c r="D337" s="42"/>
      <x:c r="E337" s="68"/>
      <x:c r="F337" s="68"/>
      <x:c r="G337" s="42"/>
      <x:c r="H337" s="42"/>
      <x:c r="I337" s="42"/>
    </x:row>
    <x:row r="338">
      <x:c r="A338" s="42"/>
      <x:c r="B338" s="42"/>
      <x:c r="C338" s="42"/>
      <x:c r="D338" s="42"/>
      <x:c r="E338" s="68"/>
      <x:c r="F338" s="68"/>
      <x:c r="G338" s="42"/>
      <x:c r="H338" s="42"/>
      <x:c r="I338" s="42"/>
    </x:row>
    <x:row r="339">
      <x:c r="A339" s="42"/>
      <x:c r="B339" s="42"/>
      <x:c r="C339" s="42"/>
      <x:c r="D339" s="42"/>
      <x:c r="E339" s="68"/>
      <x:c r="F339" s="68"/>
      <x:c r="G339" s="42"/>
      <x:c r="H339" s="42"/>
      <x:c r="I339" s="42"/>
    </x:row>
    <x:row r="340">
      <x:c r="A340" s="42"/>
      <x:c r="B340" s="42"/>
      <x:c r="C340" s="42"/>
      <x:c r="D340" s="42"/>
      <x:c r="E340" s="68"/>
      <x:c r="F340" s="68"/>
      <x:c r="G340" s="42"/>
      <x:c r="H340" s="42"/>
      <x:c r="I340" s="42"/>
    </x:row>
    <x:row r="341">
      <x:c r="A341" s="42"/>
      <x:c r="B341" s="42"/>
      <x:c r="C341" s="42"/>
      <x:c r="D341" s="42"/>
      <x:c r="E341" s="68"/>
      <x:c r="F341" s="68"/>
      <x:c r="G341" s="42"/>
      <x:c r="H341" s="42"/>
      <x:c r="I341" s="42"/>
    </x:row>
    <x:row r="342">
      <x:c r="A342" s="42"/>
      <x:c r="B342" s="42"/>
      <x:c r="C342" s="42"/>
      <x:c r="D342" s="42"/>
      <x:c r="E342" s="68"/>
      <x:c r="F342" s="68"/>
      <x:c r="G342" s="42"/>
      <x:c r="H342" s="42"/>
      <x:c r="I342" s="42"/>
    </x:row>
    <x:row r="343">
      <x:c r="A343" s="42"/>
      <x:c r="B343" s="42"/>
      <x:c r="C343" s="42"/>
      <x:c r="D343" s="42"/>
      <x:c r="E343" s="68"/>
      <x:c r="F343" s="68"/>
      <x:c r="G343" s="42"/>
      <x:c r="H343" s="42"/>
      <x:c r="I343" s="42"/>
    </x:row>
    <x:row r="344">
      <x:c r="A344" s="42"/>
      <x:c r="B344" s="42"/>
      <x:c r="C344" s="42"/>
      <x:c r="D344" s="42"/>
      <x:c r="E344" s="68"/>
      <x:c r="F344" s="68"/>
      <x:c r="G344" s="42"/>
      <x:c r="H344" s="42"/>
      <x:c r="I344" s="42"/>
    </x:row>
    <x:row r="345">
      <x:c r="A345" s="42"/>
      <x:c r="B345" s="42"/>
      <x:c r="C345" s="42"/>
      <x:c r="D345" s="42"/>
      <x:c r="E345" s="68"/>
      <x:c r="F345" s="68"/>
      <x:c r="G345" s="42"/>
      <x:c r="H345" s="42"/>
      <x:c r="I345" s="42"/>
    </x:row>
    <x:row r="346">
      <x:c r="A346" s="42"/>
      <x:c r="B346" s="42"/>
      <x:c r="C346" s="42"/>
      <x:c r="D346" s="42"/>
      <x:c r="E346" s="68"/>
      <x:c r="F346" s="68"/>
      <x:c r="G346" s="42"/>
      <x:c r="H346" s="42"/>
      <x:c r="I346" s="42"/>
    </x:row>
    <x:row r="347">
      <x:c r="A347" s="42"/>
      <x:c r="B347" s="42"/>
      <x:c r="C347" s="42"/>
      <x:c r="D347" s="42"/>
      <x:c r="E347" s="68"/>
      <x:c r="F347" s="68"/>
      <x:c r="G347" s="42"/>
      <x:c r="H347" s="42"/>
      <x:c r="I347" s="42"/>
    </x:row>
    <x:row r="348">
      <x:c r="A348" s="42"/>
      <x:c r="B348" s="42"/>
      <x:c r="C348" s="42"/>
      <x:c r="D348" s="42"/>
      <x:c r="E348" s="68"/>
      <x:c r="F348" s="68"/>
      <x:c r="G348" s="42"/>
      <x:c r="H348" s="42"/>
      <x:c r="I348" s="42"/>
    </x:row>
    <x:row r="349">
      <x:c r="A349" s="42"/>
      <x:c r="B349" s="42"/>
      <x:c r="C349" s="42"/>
      <x:c r="D349" s="42"/>
      <x:c r="E349" s="68"/>
      <x:c r="F349" s="68"/>
      <x:c r="G349" s="42"/>
      <x:c r="H349" s="42"/>
      <x:c r="I349" s="42"/>
    </x:row>
    <x:row r="350">
      <x:c r="A350" s="42"/>
      <x:c r="B350" s="42"/>
      <x:c r="C350" s="42"/>
      <x:c r="D350" s="42"/>
      <x:c r="E350" s="68"/>
      <x:c r="F350" s="68"/>
      <x:c r="G350" s="42"/>
      <x:c r="H350" s="42"/>
      <x:c r="I350" s="42"/>
    </x:row>
    <x:row r="351">
      <x:c r="A351" s="42"/>
      <x:c r="B351" s="42"/>
      <x:c r="C351" s="42"/>
      <x:c r="D351" s="42"/>
      <x:c r="E351" s="68"/>
      <x:c r="F351" s="68"/>
      <x:c r="G351" s="42"/>
      <x:c r="H351" s="42"/>
      <x:c r="I351" s="42"/>
    </x:row>
    <x:row r="352">
      <x:c r="A352" s="42"/>
      <x:c r="B352" s="42"/>
      <x:c r="C352" s="42"/>
      <x:c r="D352" s="42"/>
      <x:c r="E352" s="68"/>
      <x:c r="F352" s="68"/>
      <x:c r="G352" s="42"/>
      <x:c r="H352" s="42"/>
      <x:c r="I352" s="42"/>
    </x:row>
    <x:row r="353">
      <x:c r="A353" s="42"/>
      <x:c r="B353" s="42"/>
      <x:c r="C353" s="42"/>
      <x:c r="D353" s="42"/>
      <x:c r="E353" s="68"/>
      <x:c r="F353" s="68"/>
      <x:c r="G353" s="42"/>
      <x:c r="H353" s="42"/>
      <x:c r="I353" s="42"/>
    </x:row>
    <x:row r="354">
      <x:c r="A354" s="42"/>
      <x:c r="B354" s="42"/>
      <x:c r="C354" s="42"/>
      <x:c r="D354" s="42"/>
      <x:c r="E354" s="68"/>
      <x:c r="F354" s="68"/>
      <x:c r="G354" s="42"/>
      <x:c r="H354" s="42"/>
      <x:c r="I354" s="42"/>
    </x:row>
    <x:row r="355">
      <x:c r="A355" s="42"/>
      <x:c r="B355" s="42"/>
      <x:c r="C355" s="42"/>
      <x:c r="D355" s="42"/>
      <x:c r="E355" s="68"/>
      <x:c r="F355" s="68"/>
      <x:c r="G355" s="42"/>
      <x:c r="H355" s="42"/>
      <x:c r="I355" s="42"/>
    </x:row>
    <x:row r="356">
      <x:c r="A356" s="42"/>
      <x:c r="B356" s="42"/>
      <x:c r="C356" s="42"/>
      <x:c r="D356" s="42"/>
      <x:c r="E356" s="68"/>
      <x:c r="F356" s="68"/>
      <x:c r="G356" s="42"/>
      <x:c r="H356" s="42"/>
      <x:c r="I356" s="42"/>
    </x:row>
    <x:row r="357">
      <x:c r="A357" s="42"/>
      <x:c r="B357" s="42"/>
      <x:c r="C357" s="42"/>
      <x:c r="D357" s="42"/>
      <x:c r="E357" s="68"/>
      <x:c r="F357" s="68"/>
      <x:c r="G357" s="42"/>
      <x:c r="H357" s="42"/>
      <x:c r="I357" s="42"/>
    </x:row>
    <x:row r="358">
      <x:c r="A358" s="42"/>
      <x:c r="B358" s="42"/>
      <x:c r="C358" s="42"/>
      <x:c r="D358" s="42"/>
      <x:c r="E358" s="68"/>
      <x:c r="F358" s="68"/>
      <x:c r="G358" s="42"/>
      <x:c r="H358" s="42"/>
      <x:c r="I358" s="42"/>
    </x:row>
    <x:row r="359">
      <x:c r="A359" s="42"/>
      <x:c r="B359" s="42"/>
      <x:c r="C359" s="42"/>
      <x:c r="D359" s="42"/>
      <x:c r="E359" s="68"/>
      <x:c r="F359" s="68"/>
      <x:c r="G359" s="42"/>
      <x:c r="H359" s="42"/>
      <x:c r="I359" s="42"/>
    </x:row>
    <x:row r="360">
      <x:c r="A360" s="42"/>
      <x:c r="B360" s="42"/>
      <x:c r="C360" s="42"/>
      <x:c r="D360" s="42"/>
      <x:c r="E360" s="68"/>
      <x:c r="F360" s="68"/>
      <x:c r="G360" s="42"/>
      <x:c r="H360" s="42"/>
      <x:c r="I360" s="42"/>
    </x:row>
    <x:row r="361">
      <x:c r="A361" s="42"/>
      <x:c r="B361" s="42"/>
      <x:c r="C361" s="42"/>
      <x:c r="D361" s="42"/>
      <x:c r="E361" s="68"/>
      <x:c r="F361" s="68"/>
      <x:c r="G361" s="42"/>
      <x:c r="H361" s="42"/>
      <x:c r="I361" s="42"/>
    </x:row>
    <x:row r="362">
      <x:c r="A362" s="42"/>
      <x:c r="B362" s="42"/>
      <x:c r="C362" s="42"/>
      <x:c r="D362" s="42"/>
      <x:c r="E362" s="68"/>
      <x:c r="F362" s="68"/>
      <x:c r="G362" s="42"/>
      <x:c r="H362" s="42"/>
      <x:c r="I362" s="42"/>
    </x:row>
    <x:row r="363">
      <x:c r="A363" s="42"/>
      <x:c r="B363" s="42"/>
      <x:c r="C363" s="42"/>
      <x:c r="D363" s="42"/>
      <x:c r="E363" s="68"/>
      <x:c r="F363" s="68"/>
      <x:c r="G363" s="42"/>
      <x:c r="H363" s="42"/>
      <x:c r="I363" s="42"/>
    </x:row>
    <x:row r="364">
      <x:c r="A364" s="42"/>
      <x:c r="B364" s="42"/>
      <x:c r="C364" s="42"/>
      <x:c r="D364" s="42"/>
      <x:c r="E364" s="68"/>
      <x:c r="F364" s="68"/>
      <x:c r="G364" s="42"/>
      <x:c r="H364" s="42"/>
      <x:c r="I364" s="42"/>
    </x:row>
    <x:row r="365">
      <x:c r="A365" s="42"/>
      <x:c r="B365" s="42"/>
      <x:c r="C365" s="42"/>
      <x:c r="D365" s="42"/>
      <x:c r="E365" s="68"/>
      <x:c r="F365" s="68"/>
      <x:c r="G365" s="42"/>
      <x:c r="H365" s="42"/>
      <x:c r="I365" s="42"/>
    </x:row>
    <x:row r="366">
      <x:c r="A366" s="42"/>
      <x:c r="B366" s="42"/>
      <x:c r="C366" s="42"/>
      <x:c r="D366" s="42"/>
      <x:c r="E366" s="68"/>
      <x:c r="F366" s="68"/>
      <x:c r="G366" s="42"/>
      <x:c r="H366" s="42"/>
      <x:c r="I366" s="42"/>
    </x:row>
    <x:row r="367">
      <x:c r="A367" s="42"/>
      <x:c r="B367" s="42"/>
      <x:c r="C367" s="42"/>
      <x:c r="D367" s="42"/>
      <x:c r="E367" s="68"/>
      <x:c r="F367" s="68"/>
      <x:c r="G367" s="42"/>
      <x:c r="H367" s="42"/>
      <x:c r="I367" s="42"/>
    </x:row>
    <x:row r="368">
      <x:c r="A368" s="42"/>
      <x:c r="B368" s="42"/>
      <x:c r="C368" s="42"/>
      <x:c r="D368" s="42"/>
      <x:c r="E368" s="68"/>
      <x:c r="F368" s="68"/>
      <x:c r="G368" s="42"/>
      <x:c r="H368" s="42"/>
      <x:c r="I368" s="42"/>
    </x:row>
    <x:row r="369">
      <x:c r="A369" s="42"/>
      <x:c r="B369" s="42"/>
      <x:c r="C369" s="42"/>
      <x:c r="D369" s="42"/>
      <x:c r="E369" s="68"/>
      <x:c r="F369" s="68"/>
      <x:c r="G369" s="42"/>
      <x:c r="H369" s="42"/>
      <x:c r="I369" s="42"/>
    </x:row>
    <x:row r="370">
      <x:c r="A370" s="42"/>
      <x:c r="B370" s="42"/>
      <x:c r="C370" s="42"/>
      <x:c r="D370" s="42"/>
      <x:c r="E370" s="68"/>
      <x:c r="F370" s="68"/>
      <x:c r="G370" s="42"/>
      <x:c r="H370" s="42"/>
      <x:c r="I370" s="42"/>
    </x:row>
    <x:row r="371">
      <x:c r="A371" s="42"/>
      <x:c r="B371" s="42"/>
      <x:c r="C371" s="42"/>
      <x:c r="D371" s="42"/>
      <x:c r="E371" s="68"/>
      <x:c r="F371" s="68"/>
      <x:c r="G371" s="42"/>
      <x:c r="H371" s="42"/>
      <x:c r="I371" s="42"/>
    </x:row>
    <x:row r="372">
      <x:c r="A372" s="42"/>
      <x:c r="B372" s="42"/>
      <x:c r="C372" s="42"/>
      <x:c r="D372" s="42"/>
      <x:c r="E372" s="68"/>
      <x:c r="F372" s="68"/>
      <x:c r="G372" s="42"/>
      <x:c r="H372" s="42"/>
      <x:c r="I372" s="42"/>
    </x:row>
    <x:row r="373">
      <x:c r="A373" s="42"/>
      <x:c r="B373" s="42"/>
      <x:c r="C373" s="42"/>
      <x:c r="D373" s="42"/>
      <x:c r="E373" s="68"/>
      <x:c r="F373" s="68"/>
      <x:c r="G373" s="42"/>
      <x:c r="H373" s="42"/>
      <x:c r="I373" s="42"/>
    </x:row>
    <x:row r="374">
      <x:c r="A374" s="42"/>
      <x:c r="B374" s="42"/>
      <x:c r="C374" s="42"/>
      <x:c r="D374" s="42"/>
      <x:c r="E374" s="68"/>
      <x:c r="F374" s="68"/>
      <x:c r="G374" s="42"/>
      <x:c r="H374" s="42"/>
      <x:c r="I374" s="42"/>
    </x:row>
    <x:row r="375">
      <x:c r="A375" s="42"/>
      <x:c r="B375" s="42"/>
      <x:c r="C375" s="42"/>
      <x:c r="D375" s="42"/>
      <x:c r="E375" s="68"/>
      <x:c r="F375" s="68"/>
      <x:c r="G375" s="42"/>
      <x:c r="H375" s="42"/>
      <x:c r="I375" s="42"/>
    </x:row>
    <x:row r="376">
      <x:c r="A376" s="42"/>
      <x:c r="B376" s="42"/>
      <x:c r="C376" s="42"/>
      <x:c r="D376" s="42"/>
      <x:c r="E376" s="68"/>
      <x:c r="F376" s="68"/>
      <x:c r="G376" s="42"/>
      <x:c r="H376" s="42"/>
      <x:c r="I376" s="42"/>
    </x:row>
    <x:row r="377">
      <x:c r="A377" s="42"/>
      <x:c r="B377" s="42"/>
      <x:c r="C377" s="42"/>
      <x:c r="D377" s="42"/>
      <x:c r="E377" s="68"/>
      <x:c r="F377" s="68"/>
      <x:c r="G377" s="42"/>
      <x:c r="H377" s="42"/>
      <x:c r="I377" s="42"/>
    </x:row>
    <x:row r="378">
      <x:c r="A378" s="42"/>
      <x:c r="B378" s="42"/>
      <x:c r="C378" s="42"/>
      <x:c r="D378" s="42"/>
      <x:c r="E378" s="68"/>
      <x:c r="F378" s="68"/>
      <x:c r="G378" s="42"/>
      <x:c r="H378" s="42"/>
      <x:c r="I378" s="42"/>
    </x:row>
    <x:row r="379">
      <x:c r="A379" s="42"/>
      <x:c r="B379" s="42"/>
      <x:c r="C379" s="42"/>
      <x:c r="D379" s="42"/>
      <x:c r="E379" s="68"/>
      <x:c r="F379" s="68"/>
      <x:c r="G379" s="42"/>
      <x:c r="H379" s="42"/>
      <x:c r="I379" s="42"/>
    </x:row>
    <x:row r="380">
      <x:c r="A380" s="42"/>
      <x:c r="B380" s="42"/>
      <x:c r="C380" s="42"/>
      <x:c r="D380" s="42"/>
      <x:c r="E380" s="68"/>
      <x:c r="F380" s="68"/>
      <x:c r="G380" s="42"/>
      <x:c r="H380" s="42"/>
      <x:c r="I380" s="42"/>
    </x:row>
    <x:row r="381">
      <x:c r="A381" s="42"/>
      <x:c r="B381" s="42"/>
      <x:c r="C381" s="42"/>
      <x:c r="D381" s="42"/>
      <x:c r="E381" s="68"/>
      <x:c r="F381" s="68"/>
      <x:c r="G381" s="42"/>
      <x:c r="H381" s="42"/>
      <x:c r="I381" s="42"/>
    </x:row>
    <x:row r="382">
      <x:c r="A382" s="42"/>
      <x:c r="B382" s="42"/>
      <x:c r="C382" s="42"/>
      <x:c r="D382" s="42"/>
      <x:c r="E382" s="68"/>
      <x:c r="F382" s="68"/>
      <x:c r="G382" s="42"/>
      <x:c r="H382" s="42"/>
      <x:c r="I382" s="42"/>
    </x:row>
    <x:row r="383">
      <x:c r="A383" s="42"/>
      <x:c r="B383" s="42"/>
      <x:c r="C383" s="42"/>
      <x:c r="D383" s="42"/>
      <x:c r="E383" s="68"/>
      <x:c r="F383" s="68"/>
      <x:c r="G383" s="42"/>
      <x:c r="H383" s="42"/>
      <x:c r="I383" s="42"/>
    </x:row>
    <x:row r="384">
      <x:c r="A384" s="42"/>
      <x:c r="B384" s="42"/>
      <x:c r="C384" s="42"/>
      <x:c r="D384" s="42"/>
      <x:c r="E384" s="68"/>
      <x:c r="F384" s="68"/>
      <x:c r="G384" s="42"/>
      <x:c r="H384" s="42"/>
      <x:c r="I384" s="42"/>
    </x:row>
    <x:row r="385">
      <x:c r="A385" s="42"/>
      <x:c r="B385" s="42"/>
      <x:c r="C385" s="42"/>
      <x:c r="D385" s="42"/>
      <x:c r="E385" s="68"/>
      <x:c r="F385" s="68"/>
      <x:c r="G385" s="42"/>
      <x:c r="H385" s="42"/>
      <x:c r="I385" s="42"/>
    </x:row>
    <x:row r="386">
      <x:c r="A386" s="42"/>
      <x:c r="B386" s="42"/>
      <x:c r="C386" s="42"/>
      <x:c r="D386" s="42"/>
      <x:c r="E386" s="68"/>
      <x:c r="F386" s="68"/>
      <x:c r="G386" s="42"/>
      <x:c r="H386" s="42"/>
      <x:c r="I386" s="42"/>
    </x:row>
    <x:row r="387">
      <x:c r="A387" s="42"/>
      <x:c r="B387" s="42"/>
      <x:c r="C387" s="42"/>
      <x:c r="D387" s="42"/>
      <x:c r="E387" s="68"/>
      <x:c r="F387" s="68"/>
      <x:c r="G387" s="42"/>
      <x:c r="H387" s="42"/>
      <x:c r="I387" s="42"/>
    </x:row>
    <x:row r="388">
      <x:c r="A388" s="42"/>
      <x:c r="B388" s="42"/>
      <x:c r="C388" s="42"/>
      <x:c r="D388" s="42"/>
      <x:c r="E388" s="68"/>
      <x:c r="F388" s="68"/>
      <x:c r="G388" s="42"/>
      <x:c r="H388" s="42"/>
      <x:c r="I388" s="42"/>
    </x:row>
    <x:row r="389">
      <x:c r="A389" s="42"/>
      <x:c r="B389" s="42"/>
      <x:c r="C389" s="42"/>
      <x:c r="D389" s="42"/>
      <x:c r="E389" s="68"/>
      <x:c r="F389" s="68"/>
      <x:c r="G389" s="42"/>
      <x:c r="H389" s="42"/>
      <x:c r="I389" s="42"/>
    </x:row>
    <x:row r="390">
      <x:c r="A390" s="42"/>
      <x:c r="B390" s="42"/>
      <x:c r="C390" s="42"/>
      <x:c r="D390" s="42"/>
      <x:c r="E390" s="68"/>
      <x:c r="F390" s="68"/>
      <x:c r="G390" s="42"/>
      <x:c r="H390" s="42"/>
      <x:c r="I390" s="42"/>
    </x:row>
    <x:row r="391">
      <x:c r="A391" s="42"/>
      <x:c r="B391" s="42"/>
      <x:c r="C391" s="42"/>
      <x:c r="D391" s="42"/>
      <x:c r="E391" s="68"/>
      <x:c r="F391" s="68"/>
      <x:c r="G391" s="42"/>
      <x:c r="H391" s="42"/>
      <x:c r="I391" s="42"/>
    </x:row>
    <x:row r="392">
      <x:c r="A392" s="42"/>
      <x:c r="B392" s="42"/>
      <x:c r="C392" s="42"/>
      <x:c r="D392" s="42"/>
      <x:c r="E392" s="68"/>
      <x:c r="F392" s="68"/>
      <x:c r="G392" s="42"/>
      <x:c r="H392" s="42"/>
      <x:c r="I392" s="42"/>
    </x:row>
    <x:row r="393">
      <x:c r="A393" s="42"/>
      <x:c r="B393" s="42"/>
      <x:c r="C393" s="42"/>
      <x:c r="D393" s="42"/>
      <x:c r="E393" s="68"/>
      <x:c r="F393" s="68"/>
      <x:c r="G393" s="42"/>
      <x:c r="H393" s="42"/>
      <x:c r="I393" s="42"/>
    </x:row>
    <x:row r="394">
      <x:c r="A394" s="42"/>
      <x:c r="B394" s="42"/>
      <x:c r="C394" s="42"/>
      <x:c r="D394" s="42"/>
      <x:c r="E394" s="68"/>
      <x:c r="F394" s="68"/>
      <x:c r="G394" s="42"/>
      <x:c r="H394" s="42"/>
      <x:c r="I394" s="42"/>
    </x:row>
    <x:row r="395">
      <x:c r="A395" s="42"/>
      <x:c r="B395" s="42"/>
      <x:c r="C395" s="42"/>
      <x:c r="D395" s="42"/>
      <x:c r="E395" s="68"/>
      <x:c r="F395" s="68"/>
      <x:c r="G395" s="42"/>
      <x:c r="H395" s="42"/>
      <x:c r="I395" s="42"/>
    </x:row>
    <x:row r="396">
      <x:c r="A396" s="42"/>
      <x:c r="B396" s="42"/>
      <x:c r="C396" s="42"/>
      <x:c r="D396" s="42"/>
      <x:c r="E396" s="68"/>
      <x:c r="F396" s="68"/>
      <x:c r="G396" s="42"/>
      <x:c r="H396" s="42"/>
      <x:c r="I396" s="42"/>
    </x:row>
    <x:row r="397">
      <x:c r="A397" s="42"/>
      <x:c r="B397" s="42"/>
      <x:c r="C397" s="42"/>
      <x:c r="D397" s="42"/>
      <x:c r="E397" s="68"/>
      <x:c r="F397" s="68"/>
      <x:c r="G397" s="42"/>
      <x:c r="H397" s="42"/>
      <x:c r="I397" s="42"/>
    </x:row>
    <x:row r="398">
      <x:c r="A398" s="42"/>
      <x:c r="B398" s="42"/>
      <x:c r="C398" s="42"/>
      <x:c r="D398" s="42"/>
      <x:c r="E398" s="68"/>
      <x:c r="F398" s="68"/>
      <x:c r="G398" s="42"/>
      <x:c r="H398" s="42"/>
      <x:c r="I398" s="42"/>
    </x:row>
    <x:row r="399">
      <x:c r="A399" s="42"/>
      <x:c r="B399" s="42"/>
      <x:c r="C399" s="42"/>
      <x:c r="D399" s="42"/>
      <x:c r="E399" s="68"/>
      <x:c r="F399" s="68"/>
      <x:c r="G399" s="42"/>
      <x:c r="H399" s="42"/>
      <x:c r="I399" s="42"/>
    </x:row>
    <x:row r="400">
      <x:c r="A400" s="42"/>
      <x:c r="B400" s="42"/>
      <x:c r="C400" s="42"/>
      <x:c r="D400" s="42"/>
      <x:c r="E400" s="68"/>
      <x:c r="F400" s="68"/>
      <x:c r="G400" s="42"/>
      <x:c r="H400" s="42"/>
      <x:c r="I400" s="42"/>
    </x:row>
    <x:row r="401">
      <x:c r="A401" s="42"/>
      <x:c r="B401" s="42"/>
      <x:c r="C401" s="42"/>
      <x:c r="D401" s="42"/>
      <x:c r="E401" s="68"/>
      <x:c r="F401" s="68"/>
      <x:c r="G401" s="42"/>
      <x:c r="H401" s="42"/>
      <x:c r="I401" s="42"/>
    </x:row>
    <x:row r="402">
      <x:c r="A402" s="42"/>
      <x:c r="B402" s="42"/>
      <x:c r="C402" s="42"/>
      <x:c r="D402" s="42"/>
      <x:c r="E402" s="68"/>
      <x:c r="F402" s="68"/>
      <x:c r="G402" s="42"/>
      <x:c r="H402" s="42"/>
      <x:c r="I402" s="42"/>
    </x:row>
    <x:row r="403">
      <x:c r="A403" s="42"/>
      <x:c r="B403" s="42"/>
      <x:c r="C403" s="42"/>
      <x:c r="D403" s="42"/>
      <x:c r="E403" s="68"/>
      <x:c r="F403" s="68"/>
      <x:c r="G403" s="42"/>
      <x:c r="H403" s="42"/>
      <x:c r="I403" s="42"/>
    </x:row>
    <x:row r="404">
      <x:c r="A404" s="42"/>
      <x:c r="B404" s="42"/>
      <x:c r="C404" s="42"/>
      <x:c r="D404" s="42"/>
      <x:c r="E404" s="68"/>
      <x:c r="F404" s="68"/>
      <x:c r="G404" s="42"/>
      <x:c r="H404" s="42"/>
      <x:c r="I404" s="42"/>
    </x:row>
    <x:row r="405">
      <x:c r="A405" s="42"/>
      <x:c r="B405" s="42"/>
      <x:c r="C405" s="42"/>
      <x:c r="D405" s="42"/>
      <x:c r="E405" s="68"/>
      <x:c r="F405" s="68"/>
      <x:c r="G405" s="42"/>
      <x:c r="H405" s="42"/>
      <x:c r="I405" s="42"/>
    </x:row>
    <x:row r="406">
      <x:c r="A406" s="42"/>
      <x:c r="B406" s="42"/>
      <x:c r="C406" s="42"/>
      <x:c r="D406" s="42"/>
      <x:c r="E406" s="68"/>
      <x:c r="F406" s="68"/>
      <x:c r="G406" s="42"/>
      <x:c r="H406" s="42"/>
      <x:c r="I406" s="42"/>
    </x:row>
    <x:row r="407">
      <x:c r="A407" s="42"/>
      <x:c r="B407" s="42"/>
      <x:c r="C407" s="42"/>
      <x:c r="D407" s="42"/>
      <x:c r="E407" s="68"/>
      <x:c r="F407" s="68"/>
      <x:c r="G407" s="42"/>
      <x:c r="H407" s="42"/>
      <x:c r="I407" s="42"/>
    </x:row>
    <x:row r="408">
      <x:c r="A408" s="42"/>
      <x:c r="B408" s="42"/>
      <x:c r="C408" s="42"/>
      <x:c r="D408" s="42"/>
      <x:c r="E408" s="68"/>
      <x:c r="F408" s="68"/>
      <x:c r="G408" s="42"/>
      <x:c r="H408" s="42"/>
      <x:c r="I408" s="42"/>
    </x:row>
    <x:row r="409">
      <x:c r="A409" s="42"/>
      <x:c r="B409" s="42"/>
      <x:c r="C409" s="42"/>
      <x:c r="D409" s="42"/>
      <x:c r="E409" s="68"/>
      <x:c r="F409" s="68"/>
      <x:c r="G409" s="42"/>
      <x:c r="H409" s="42"/>
      <x:c r="I409" s="42"/>
    </x:row>
    <x:row r="410">
      <x:c r="A410" s="42"/>
      <x:c r="B410" s="42"/>
      <x:c r="C410" s="42"/>
      <x:c r="D410" s="42"/>
      <x:c r="E410" s="68"/>
      <x:c r="F410" s="68"/>
      <x:c r="G410" s="42"/>
      <x:c r="H410" s="42"/>
      <x:c r="I410" s="42"/>
    </x:row>
    <x:row r="411">
      <x:c r="A411" s="42"/>
      <x:c r="B411" s="42"/>
      <x:c r="C411" s="42"/>
      <x:c r="D411" s="42"/>
      <x:c r="E411" s="68"/>
      <x:c r="F411" s="68"/>
      <x:c r="G411" s="42"/>
      <x:c r="H411" s="42"/>
      <x:c r="I411" s="42"/>
    </x:row>
    <x:row r="412">
      <x:c r="A412" s="42"/>
      <x:c r="B412" s="42"/>
      <x:c r="C412" s="42"/>
      <x:c r="D412" s="42"/>
      <x:c r="E412" s="68"/>
      <x:c r="F412" s="68"/>
      <x:c r="G412" s="42"/>
      <x:c r="H412" s="42"/>
      <x:c r="I412" s="42"/>
    </x:row>
    <x:row r="413">
      <x:c r="A413" s="42"/>
      <x:c r="B413" s="42"/>
      <x:c r="C413" s="42"/>
      <x:c r="D413" s="42"/>
      <x:c r="E413" s="68"/>
      <x:c r="F413" s="68"/>
      <x:c r="G413" s="42"/>
      <x:c r="H413" s="42"/>
      <x:c r="I413" s="42"/>
    </x:row>
    <x:row r="414">
      <x:c r="A414" s="42"/>
      <x:c r="B414" s="42"/>
      <x:c r="C414" s="42"/>
      <x:c r="D414" s="42"/>
      <x:c r="E414" s="68"/>
      <x:c r="F414" s="68"/>
      <x:c r="G414" s="42"/>
      <x:c r="H414" s="42"/>
      <x:c r="I414" s="42"/>
    </x:row>
    <x:row r="415">
      <x:c r="A415" s="42"/>
      <x:c r="B415" s="42"/>
      <x:c r="C415" s="42"/>
      <x:c r="D415" s="42"/>
      <x:c r="E415" s="68"/>
      <x:c r="F415" s="68"/>
      <x:c r="G415" s="42"/>
      <x:c r="H415" s="42"/>
      <x:c r="I415" s="42"/>
    </x:row>
    <x:row r="416">
      <x:c r="A416" s="42"/>
      <x:c r="B416" s="42"/>
      <x:c r="C416" s="42"/>
      <x:c r="D416" s="42"/>
      <x:c r="E416" s="68"/>
      <x:c r="F416" s="68"/>
      <x:c r="G416" s="42"/>
      <x:c r="H416" s="42"/>
      <x:c r="I416" s="42"/>
    </x:row>
    <x:row r="417">
      <x:c r="A417" s="42"/>
      <x:c r="B417" s="42"/>
      <x:c r="C417" s="42"/>
      <x:c r="D417" s="42"/>
      <x:c r="E417" s="68"/>
      <x:c r="F417" s="68"/>
      <x:c r="G417" s="42"/>
      <x:c r="H417" s="42"/>
      <x:c r="I417" s="42"/>
    </x:row>
    <x:row r="418">
      <x:c r="A418" s="42"/>
      <x:c r="B418" s="42"/>
      <x:c r="C418" s="42"/>
      <x:c r="D418" s="42"/>
      <x:c r="E418" s="68"/>
      <x:c r="F418" s="68"/>
      <x:c r="G418" s="42"/>
      <x:c r="H418" s="42"/>
      <x:c r="I418" s="42"/>
    </x:row>
    <x:row r="419">
      <x:c r="A419" s="42"/>
      <x:c r="B419" s="42"/>
      <x:c r="C419" s="42"/>
      <x:c r="D419" s="42"/>
      <x:c r="E419" s="68"/>
      <x:c r="F419" s="68"/>
      <x:c r="G419" s="42"/>
      <x:c r="H419" s="42"/>
      <x:c r="I419" s="42"/>
    </x:row>
    <x:row r="420">
      <x:c r="A420" s="42"/>
      <x:c r="B420" s="42"/>
      <x:c r="C420" s="42"/>
      <x:c r="D420" s="42"/>
      <x:c r="E420" s="68"/>
      <x:c r="F420" s="68"/>
      <x:c r="G420" s="42"/>
      <x:c r="H420" s="42"/>
      <x:c r="I420" s="42"/>
    </x:row>
    <x:row r="421">
      <x:c r="A421" s="42"/>
      <x:c r="B421" s="42"/>
      <x:c r="C421" s="42"/>
      <x:c r="D421" s="42"/>
      <x:c r="E421" s="68"/>
      <x:c r="F421" s="68"/>
      <x:c r="G421" s="42"/>
      <x:c r="H421" s="42"/>
      <x:c r="I421" s="42"/>
    </x:row>
    <x:row r="422">
      <x:c r="A422" s="42"/>
      <x:c r="B422" s="42"/>
      <x:c r="C422" s="42"/>
      <x:c r="D422" s="42"/>
      <x:c r="E422" s="68"/>
      <x:c r="F422" s="68"/>
      <x:c r="G422" s="42"/>
      <x:c r="H422" s="42"/>
      <x:c r="I422" s="42"/>
    </x:row>
    <x:row r="423">
      <x:c r="A423" s="42"/>
      <x:c r="B423" s="42"/>
      <x:c r="C423" s="42"/>
      <x:c r="D423" s="42"/>
      <x:c r="E423" s="68"/>
      <x:c r="F423" s="68"/>
      <x:c r="G423" s="42"/>
      <x:c r="H423" s="42"/>
      <x:c r="I423" s="42"/>
    </x:row>
    <x:row r="424">
      <x:c r="A424" s="42"/>
      <x:c r="B424" s="42"/>
      <x:c r="C424" s="42"/>
      <x:c r="D424" s="42"/>
      <x:c r="E424" s="68"/>
      <x:c r="F424" s="68"/>
      <x:c r="G424" s="42"/>
      <x:c r="H424" s="42"/>
      <x:c r="I424" s="42"/>
    </x:row>
    <x:row r="425">
      <x:c r="A425" s="42"/>
      <x:c r="B425" s="42"/>
      <x:c r="C425" s="42"/>
      <x:c r="D425" s="42"/>
      <x:c r="E425" s="68"/>
      <x:c r="F425" s="68"/>
      <x:c r="G425" s="42"/>
      <x:c r="H425" s="42"/>
      <x:c r="I425" s="42"/>
    </x:row>
    <x:row r="426">
      <x:c r="A426" s="42"/>
      <x:c r="B426" s="42"/>
      <x:c r="C426" s="42"/>
      <x:c r="D426" s="42"/>
      <x:c r="E426" s="68"/>
      <x:c r="F426" s="68"/>
      <x:c r="G426" s="42"/>
      <x:c r="H426" s="42"/>
      <x:c r="I426" s="42"/>
    </x:row>
    <x:row r="427">
      <x:c r="A427" s="42"/>
      <x:c r="B427" s="42"/>
      <x:c r="C427" s="42"/>
      <x:c r="D427" s="42"/>
      <x:c r="E427" s="68"/>
      <x:c r="F427" s="68"/>
      <x:c r="G427" s="42"/>
      <x:c r="H427" s="42"/>
      <x:c r="I427" s="42"/>
    </x:row>
    <x:row r="428">
      <x:c r="A428" s="42"/>
      <x:c r="B428" s="42"/>
      <x:c r="C428" s="42"/>
      <x:c r="D428" s="42"/>
      <x:c r="E428" s="68"/>
      <x:c r="F428" s="68"/>
      <x:c r="G428" s="42"/>
      <x:c r="H428" s="42"/>
      <x:c r="I428" s="42"/>
    </x:row>
    <x:row r="429">
      <x:c r="A429" s="42"/>
      <x:c r="B429" s="42"/>
      <x:c r="C429" s="42"/>
      <x:c r="D429" s="42"/>
      <x:c r="E429" s="68"/>
      <x:c r="F429" s="68"/>
      <x:c r="G429" s="42"/>
      <x:c r="H429" s="42"/>
      <x:c r="I429" s="42"/>
    </x:row>
    <x:row r="430">
      <x:c r="A430" s="42"/>
      <x:c r="B430" s="42"/>
      <x:c r="C430" s="42"/>
      <x:c r="D430" s="42"/>
      <x:c r="E430" s="68"/>
      <x:c r="F430" s="68"/>
      <x:c r="G430" s="42"/>
      <x:c r="H430" s="42"/>
      <x:c r="I430" s="42"/>
    </x:row>
    <x:row r="431">
      <x:c r="A431" s="42"/>
      <x:c r="B431" s="42"/>
      <x:c r="C431" s="42"/>
      <x:c r="D431" s="42"/>
      <x:c r="E431" s="68"/>
      <x:c r="F431" s="68"/>
      <x:c r="G431" s="42"/>
      <x:c r="H431" s="42"/>
      <x:c r="I431" s="42"/>
    </x:row>
    <x:row r="432">
      <x:c r="A432" s="42"/>
      <x:c r="B432" s="42"/>
      <x:c r="C432" s="42"/>
      <x:c r="D432" s="42"/>
      <x:c r="E432" s="68"/>
      <x:c r="F432" s="68"/>
      <x:c r="G432" s="42"/>
      <x:c r="H432" s="42"/>
      <x:c r="I432" s="42"/>
    </x:row>
    <x:row r="433">
      <x:c r="A433" s="42"/>
      <x:c r="B433" s="42"/>
      <x:c r="C433" s="42"/>
      <x:c r="D433" s="42"/>
      <x:c r="E433" s="68"/>
      <x:c r="F433" s="68"/>
      <x:c r="G433" s="42"/>
      <x:c r="H433" s="42"/>
      <x:c r="I433" s="42"/>
    </x:row>
    <x:row r="434">
      <x:c r="A434" s="42"/>
      <x:c r="B434" s="42"/>
      <x:c r="C434" s="42"/>
      <x:c r="D434" s="42"/>
      <x:c r="E434" s="68"/>
      <x:c r="F434" s="68"/>
      <x:c r="G434" s="42"/>
      <x:c r="H434" s="42"/>
      <x:c r="I434" s="42"/>
    </x:row>
    <x:row r="435">
      <x:c r="A435" s="42"/>
      <x:c r="B435" s="42"/>
      <x:c r="C435" s="42"/>
      <x:c r="D435" s="42"/>
      <x:c r="E435" s="68"/>
      <x:c r="F435" s="68"/>
      <x:c r="G435" s="42"/>
      <x:c r="H435" s="42"/>
      <x:c r="I435" s="42"/>
    </x:row>
    <x:row r="436">
      <x:c r="A436" s="42"/>
      <x:c r="B436" s="42"/>
      <x:c r="C436" s="42"/>
      <x:c r="D436" s="42"/>
      <x:c r="E436" s="68"/>
      <x:c r="F436" s="68"/>
      <x:c r="G436" s="42"/>
      <x:c r="H436" s="42"/>
      <x:c r="I436" s="42"/>
    </x:row>
    <x:row r="437">
      <x:c r="A437" s="42"/>
      <x:c r="B437" s="42"/>
      <x:c r="C437" s="42"/>
      <x:c r="D437" s="42"/>
      <x:c r="E437" s="68"/>
      <x:c r="F437" s="68"/>
      <x:c r="G437" s="42"/>
      <x:c r="H437" s="42"/>
      <x:c r="I437" s="42"/>
    </x:row>
    <x:row r="438">
      <x:c r="A438" s="42"/>
      <x:c r="B438" s="42"/>
      <x:c r="C438" s="42"/>
      <x:c r="D438" s="42"/>
      <x:c r="E438" s="68"/>
      <x:c r="F438" s="68"/>
      <x:c r="G438" s="42"/>
      <x:c r="H438" s="42"/>
      <x:c r="I438" s="42"/>
    </x:row>
    <x:row r="439">
      <x:c r="A439" s="42"/>
      <x:c r="B439" s="42"/>
      <x:c r="C439" s="42"/>
      <x:c r="D439" s="42"/>
      <x:c r="E439" s="68"/>
      <x:c r="F439" s="68"/>
      <x:c r="G439" s="42"/>
      <x:c r="H439" s="42"/>
      <x:c r="I439" s="42"/>
    </x:row>
    <x:row r="440">
      <x:c r="A440" s="42"/>
      <x:c r="B440" s="42"/>
      <x:c r="C440" s="42"/>
      <x:c r="D440" s="42"/>
      <x:c r="E440" s="68"/>
      <x:c r="F440" s="68"/>
      <x:c r="G440" s="42"/>
      <x:c r="H440" s="42"/>
      <x:c r="I440" s="42"/>
    </x:row>
    <x:row r="441">
      <x:c r="A441" s="42"/>
      <x:c r="B441" s="42"/>
      <x:c r="C441" s="42"/>
      <x:c r="D441" s="42"/>
      <x:c r="E441" s="68"/>
      <x:c r="F441" s="68"/>
      <x:c r="G441" s="42"/>
      <x:c r="H441" s="42"/>
      <x:c r="I441" s="42"/>
    </x:row>
    <x:row r="442">
      <x:c r="A442" s="42"/>
      <x:c r="B442" s="42"/>
      <x:c r="C442" s="42"/>
      <x:c r="D442" s="42"/>
      <x:c r="E442" s="68"/>
      <x:c r="F442" s="68"/>
      <x:c r="G442" s="42"/>
      <x:c r="H442" s="42"/>
      <x:c r="I442" s="42"/>
    </x:row>
    <x:row r="443">
      <x:c r="A443" s="42"/>
      <x:c r="B443" s="42"/>
      <x:c r="C443" s="42"/>
      <x:c r="D443" s="42"/>
      <x:c r="E443" s="68"/>
      <x:c r="F443" s="68"/>
      <x:c r="G443" s="42"/>
      <x:c r="H443" s="42"/>
      <x:c r="I443" s="42"/>
    </x:row>
    <x:row r="444">
      <x:c r="A444" s="42"/>
      <x:c r="B444" s="42"/>
      <x:c r="C444" s="42"/>
      <x:c r="D444" s="42"/>
      <x:c r="E444" s="68"/>
      <x:c r="F444" s="68"/>
      <x:c r="G444" s="42"/>
      <x:c r="H444" s="42"/>
      <x:c r="I444" s="42"/>
    </x:row>
    <x:row r="445">
      <x:c r="A445" s="42"/>
      <x:c r="B445" s="42"/>
      <x:c r="C445" s="42"/>
      <x:c r="D445" s="42"/>
      <x:c r="E445" s="68"/>
      <x:c r="F445" s="68"/>
      <x:c r="G445" s="42"/>
      <x:c r="H445" s="42"/>
      <x:c r="I445" s="42"/>
    </x:row>
    <x:row r="446">
      <x:c r="A446" s="42"/>
      <x:c r="B446" s="42"/>
      <x:c r="C446" s="42"/>
      <x:c r="D446" s="42"/>
      <x:c r="E446" s="68"/>
      <x:c r="F446" s="68"/>
      <x:c r="G446" s="42"/>
      <x:c r="H446" s="42"/>
      <x:c r="I446" s="42"/>
    </x:row>
    <x:row r="447">
      <x:c r="A447" s="42"/>
      <x:c r="B447" s="42"/>
      <x:c r="C447" s="42"/>
      <x:c r="D447" s="42"/>
      <x:c r="E447" s="68"/>
      <x:c r="F447" s="68"/>
      <x:c r="G447" s="42"/>
      <x:c r="H447" s="42"/>
      <x:c r="I447" s="42"/>
    </x:row>
    <x:row r="448">
      <x:c r="A448" s="42"/>
      <x:c r="B448" s="42"/>
      <x:c r="C448" s="42"/>
      <x:c r="D448" s="42"/>
      <x:c r="E448" s="68"/>
      <x:c r="F448" s="68"/>
      <x:c r="G448" s="42"/>
      <x:c r="H448" s="42"/>
      <x:c r="I448" s="42"/>
    </x:row>
    <x:row r="449">
      <x:c r="A449" s="42"/>
      <x:c r="B449" s="42"/>
      <x:c r="C449" s="42"/>
      <x:c r="D449" s="42"/>
      <x:c r="E449" s="68"/>
      <x:c r="F449" s="68"/>
      <x:c r="G449" s="42"/>
      <x:c r="H449" s="42"/>
      <x:c r="I449" s="42"/>
    </x:row>
    <x:row r="450">
      <x:c r="A450" s="42"/>
      <x:c r="B450" s="42"/>
      <x:c r="C450" s="42"/>
      <x:c r="D450" s="42"/>
      <x:c r="E450" s="68"/>
      <x:c r="F450" s="68"/>
      <x:c r="G450" s="42"/>
      <x:c r="H450" s="42"/>
      <x:c r="I450" s="42"/>
    </x:row>
    <x:row r="451">
      <x:c r="A451" s="42"/>
      <x:c r="B451" s="42"/>
      <x:c r="C451" s="42"/>
      <x:c r="D451" s="42"/>
      <x:c r="E451" s="68"/>
      <x:c r="F451" s="68"/>
      <x:c r="G451" s="42"/>
      <x:c r="H451" s="42"/>
      <x:c r="I451" s="42"/>
    </x:row>
    <x:row r="452">
      <x:c r="A452" s="42"/>
      <x:c r="B452" s="42"/>
      <x:c r="C452" s="42"/>
      <x:c r="D452" s="42"/>
      <x:c r="E452" s="68"/>
      <x:c r="F452" s="68"/>
      <x:c r="G452" s="42"/>
      <x:c r="H452" s="42"/>
      <x:c r="I452" s="42"/>
    </x:row>
    <x:row r="453">
      <x:c r="A453" s="42"/>
      <x:c r="B453" s="42"/>
      <x:c r="C453" s="42"/>
      <x:c r="D453" s="42"/>
      <x:c r="E453" s="68"/>
      <x:c r="F453" s="68"/>
      <x:c r="G453" s="42"/>
      <x:c r="H453" s="42"/>
      <x:c r="I453" s="42"/>
    </x:row>
    <x:row r="454">
      <x:c r="A454" s="42"/>
      <x:c r="B454" s="42"/>
      <x:c r="C454" s="42"/>
      <x:c r="D454" s="42"/>
      <x:c r="E454" s="68"/>
      <x:c r="F454" s="68"/>
      <x:c r="G454" s="42"/>
      <x:c r="H454" s="42"/>
      <x:c r="I454" s="42"/>
    </x:row>
    <x:row r="455">
      <x:c r="A455" s="42"/>
      <x:c r="B455" s="42"/>
      <x:c r="C455" s="42"/>
      <x:c r="D455" s="42"/>
      <x:c r="E455" s="68"/>
      <x:c r="F455" s="68"/>
      <x:c r="G455" s="42"/>
      <x:c r="H455" s="42"/>
      <x:c r="I455" s="42"/>
    </x:row>
    <x:row r="456">
      <x:c r="A456" s="42"/>
      <x:c r="B456" s="42"/>
      <x:c r="C456" s="42"/>
      <x:c r="D456" s="42"/>
      <x:c r="E456" s="68"/>
      <x:c r="F456" s="68"/>
      <x:c r="G456" s="42"/>
      <x:c r="H456" s="42"/>
      <x:c r="I456" s="42"/>
    </x:row>
    <x:row r="457">
      <x:c r="A457" s="42"/>
      <x:c r="B457" s="42"/>
      <x:c r="C457" s="42"/>
      <x:c r="D457" s="42"/>
      <x:c r="E457" s="68"/>
      <x:c r="F457" s="68"/>
      <x:c r="G457" s="42"/>
      <x:c r="H457" s="42"/>
      <x:c r="I457" s="42"/>
    </x:row>
    <x:row r="458">
      <x:c r="A458" s="42"/>
      <x:c r="B458" s="42"/>
      <x:c r="C458" s="42"/>
      <x:c r="D458" s="42"/>
      <x:c r="E458" s="68"/>
      <x:c r="F458" s="68"/>
      <x:c r="G458" s="42"/>
      <x:c r="H458" s="42"/>
      <x:c r="I458" s="42"/>
    </x:row>
    <x:row r="459">
      <x:c r="A459" s="42"/>
      <x:c r="B459" s="42"/>
      <x:c r="C459" s="42"/>
      <x:c r="D459" s="42"/>
      <x:c r="E459" s="68"/>
      <x:c r="F459" s="68"/>
      <x:c r="G459" s="42"/>
      <x:c r="H459" s="42"/>
      <x:c r="I459" s="42"/>
    </x:row>
    <x:row r="460">
      <x:c r="A460" s="42"/>
      <x:c r="B460" s="42"/>
      <x:c r="C460" s="42"/>
      <x:c r="D460" s="42"/>
      <x:c r="E460" s="68"/>
      <x:c r="F460" s="68"/>
      <x:c r="G460" s="42"/>
      <x:c r="H460" s="42"/>
      <x:c r="I460" s="42"/>
    </x:row>
    <x:row r="461">
      <x:c r="A461" s="42"/>
      <x:c r="B461" s="42"/>
      <x:c r="C461" s="42"/>
      <x:c r="D461" s="42"/>
      <x:c r="E461" s="68"/>
      <x:c r="F461" s="68"/>
      <x:c r="G461" s="42"/>
      <x:c r="H461" s="42"/>
      <x:c r="I461" s="42"/>
    </x:row>
    <x:row r="462">
      <x:c r="A462" s="42"/>
      <x:c r="B462" s="42"/>
      <x:c r="C462" s="42"/>
      <x:c r="D462" s="42"/>
      <x:c r="E462" s="68"/>
      <x:c r="F462" s="68"/>
      <x:c r="G462" s="42"/>
      <x:c r="H462" s="42"/>
      <x:c r="I462" s="42"/>
    </x:row>
    <x:row r="463">
      <x:c r="A463" s="42"/>
      <x:c r="B463" s="42"/>
      <x:c r="C463" s="42"/>
      <x:c r="D463" s="42"/>
      <x:c r="E463" s="68"/>
      <x:c r="F463" s="68"/>
      <x:c r="G463" s="42"/>
      <x:c r="H463" s="42"/>
      <x:c r="I463" s="42"/>
    </x:row>
    <x:row r="464">
      <x:c r="A464" s="42"/>
      <x:c r="B464" s="42"/>
      <x:c r="C464" s="42"/>
      <x:c r="D464" s="42"/>
      <x:c r="E464" s="68"/>
      <x:c r="F464" s="68"/>
      <x:c r="G464" s="42"/>
      <x:c r="H464" s="42"/>
      <x:c r="I464" s="42"/>
    </x:row>
    <x:row r="465">
      <x:c r="A465" s="42"/>
      <x:c r="B465" s="42"/>
      <x:c r="C465" s="42"/>
      <x:c r="D465" s="42"/>
      <x:c r="E465" s="68"/>
      <x:c r="F465" s="68"/>
      <x:c r="G465" s="42"/>
      <x:c r="H465" s="42"/>
      <x:c r="I465" s="42"/>
    </x:row>
    <x:row r="466">
      <x:c r="A466" s="42"/>
      <x:c r="B466" s="42"/>
      <x:c r="C466" s="42"/>
      <x:c r="D466" s="42"/>
      <x:c r="E466" s="68"/>
      <x:c r="F466" s="68"/>
      <x:c r="G466" s="42"/>
      <x:c r="H466" s="42"/>
      <x:c r="I466" s="42"/>
    </x:row>
    <x:row r="467">
      <x:c r="A467" s="42"/>
      <x:c r="B467" s="42"/>
      <x:c r="C467" s="42"/>
      <x:c r="D467" s="42"/>
      <x:c r="E467" s="68"/>
      <x:c r="F467" s="68"/>
      <x:c r="G467" s="42"/>
      <x:c r="H467" s="42"/>
      <x:c r="I467" s="42"/>
    </x:row>
    <x:row r="468">
      <x:c r="A468" s="42"/>
      <x:c r="B468" s="42"/>
      <x:c r="C468" s="42"/>
      <x:c r="D468" s="42"/>
      <x:c r="E468" s="68"/>
      <x:c r="F468" s="68"/>
      <x:c r="G468" s="42"/>
      <x:c r="H468" s="42"/>
      <x:c r="I468" s="42"/>
    </x:row>
    <x:row r="469">
      <x:c r="A469" s="42"/>
      <x:c r="B469" s="42"/>
      <x:c r="C469" s="42"/>
      <x:c r="D469" s="42"/>
      <x:c r="E469" s="68"/>
      <x:c r="F469" s="68"/>
      <x:c r="G469" s="42"/>
      <x:c r="H469" s="42"/>
      <x:c r="I469" s="42"/>
    </x:row>
    <x:row r="470">
      <x:c r="A470" s="42"/>
      <x:c r="B470" s="42"/>
      <x:c r="C470" s="42"/>
      <x:c r="D470" s="42"/>
      <x:c r="E470" s="68"/>
      <x:c r="F470" s="68"/>
      <x:c r="G470" s="42"/>
      <x:c r="H470" s="42"/>
      <x:c r="I470" s="42"/>
    </x:row>
    <x:row r="471">
      <x:c r="A471" s="42"/>
      <x:c r="B471" s="42"/>
      <x:c r="C471" s="42"/>
      <x:c r="D471" s="42"/>
      <x:c r="E471" s="68"/>
      <x:c r="F471" s="68"/>
      <x:c r="G471" s="42"/>
      <x:c r="H471" s="42"/>
      <x:c r="I471" s="42"/>
    </x:row>
    <x:row r="472">
      <x:c r="A472" s="42"/>
      <x:c r="B472" s="42"/>
      <x:c r="C472" s="42"/>
      <x:c r="D472" s="42"/>
      <x:c r="E472" s="68"/>
      <x:c r="F472" s="68"/>
      <x:c r="G472" s="42"/>
      <x:c r="H472" s="42"/>
      <x:c r="I472" s="42"/>
    </x:row>
    <x:row r="473">
      <x:c r="A473" s="42"/>
      <x:c r="B473" s="42"/>
      <x:c r="C473" s="42"/>
      <x:c r="D473" s="42"/>
      <x:c r="E473" s="68"/>
      <x:c r="F473" s="68"/>
      <x:c r="G473" s="42"/>
      <x:c r="H473" s="42"/>
      <x:c r="I473" s="42"/>
    </x:row>
    <x:row r="474">
      <x:c r="A474" s="42"/>
      <x:c r="B474" s="42"/>
      <x:c r="C474" s="42"/>
      <x:c r="D474" s="42"/>
      <x:c r="E474" s="68"/>
      <x:c r="F474" s="68"/>
      <x:c r="G474" s="42"/>
      <x:c r="H474" s="42"/>
      <x:c r="I474" s="42"/>
    </x:row>
    <x:row r="475">
      <x:c r="A475" s="42"/>
      <x:c r="B475" s="42"/>
      <x:c r="C475" s="42"/>
      <x:c r="D475" s="42"/>
      <x:c r="E475" s="68"/>
      <x:c r="F475" s="68"/>
      <x:c r="G475" s="42"/>
      <x:c r="H475" s="42"/>
      <x:c r="I475" s="42"/>
    </x:row>
    <x:row r="476">
      <x:c r="A476" s="42"/>
      <x:c r="B476" s="42"/>
      <x:c r="C476" s="42"/>
      <x:c r="D476" s="42"/>
      <x:c r="E476" s="68"/>
      <x:c r="F476" s="68"/>
      <x:c r="G476" s="42"/>
      <x:c r="H476" s="42"/>
      <x:c r="I476" s="42"/>
    </x:row>
    <x:row r="477">
      <x:c r="A477" s="42"/>
      <x:c r="B477" s="42"/>
      <x:c r="C477" s="42"/>
      <x:c r="D477" s="42"/>
      <x:c r="E477" s="68"/>
      <x:c r="F477" s="68"/>
      <x:c r="G477" s="42"/>
      <x:c r="H477" s="42"/>
      <x:c r="I477" s="42"/>
    </x:row>
    <x:row r="478">
      <x:c r="A478" s="42"/>
      <x:c r="B478" s="42"/>
      <x:c r="C478" s="42"/>
      <x:c r="D478" s="42"/>
      <x:c r="E478" s="68"/>
      <x:c r="F478" s="68"/>
      <x:c r="G478" s="42"/>
      <x:c r="H478" s="42"/>
      <x:c r="I478" s="42"/>
    </x:row>
    <x:row r="479">
      <x:c r="A479" s="42"/>
      <x:c r="B479" s="42"/>
      <x:c r="C479" s="42"/>
      <x:c r="D479" s="42"/>
      <x:c r="E479" s="68"/>
      <x:c r="F479" s="68"/>
      <x:c r="G479" s="42"/>
      <x:c r="H479" s="42"/>
      <x:c r="I479" s="42"/>
    </x:row>
    <x:row r="480">
      <x:c r="A480" s="42"/>
      <x:c r="B480" s="42"/>
      <x:c r="C480" s="42"/>
      <x:c r="D480" s="42"/>
      <x:c r="E480" s="68"/>
      <x:c r="F480" s="68"/>
      <x:c r="G480" s="42"/>
      <x:c r="H480" s="42"/>
      <x:c r="I480" s="42"/>
    </x:row>
    <x:row r="481">
      <x:c r="A481" s="42"/>
      <x:c r="B481" s="42"/>
      <x:c r="C481" s="42"/>
      <x:c r="D481" s="42"/>
      <x:c r="E481" s="68"/>
      <x:c r="F481" s="68"/>
      <x:c r="G481" s="42"/>
      <x:c r="H481" s="42"/>
      <x:c r="I481" s="42"/>
    </x:row>
    <x:row r="482">
      <x:c r="A482" s="42"/>
      <x:c r="B482" s="42"/>
      <x:c r="C482" s="42"/>
      <x:c r="D482" s="42"/>
      <x:c r="E482" s="68"/>
      <x:c r="F482" s="68"/>
      <x:c r="G482" s="42"/>
      <x:c r="H482" s="42"/>
      <x:c r="I482" s="42"/>
    </x:row>
    <x:row r="483">
      <x:c r="A483" s="42"/>
      <x:c r="B483" s="42"/>
      <x:c r="C483" s="42"/>
      <x:c r="D483" s="42"/>
      <x:c r="E483" s="68"/>
      <x:c r="F483" s="68"/>
      <x:c r="G483" s="42"/>
      <x:c r="H483" s="42"/>
      <x:c r="I483" s="42"/>
    </x:row>
    <x:row r="484">
      <x:c r="A484" s="42"/>
      <x:c r="B484" s="42"/>
      <x:c r="C484" s="42"/>
      <x:c r="D484" s="42"/>
      <x:c r="E484" s="68"/>
      <x:c r="F484" s="68"/>
      <x:c r="G484" s="42"/>
      <x:c r="H484" s="42"/>
      <x:c r="I484" s="42"/>
    </x:row>
    <x:row r="485">
      <x:c r="A485" s="42"/>
      <x:c r="B485" s="42"/>
      <x:c r="C485" s="42"/>
      <x:c r="D485" s="42"/>
      <x:c r="E485" s="68"/>
      <x:c r="F485" s="68"/>
      <x:c r="G485" s="42"/>
      <x:c r="H485" s="42"/>
      <x:c r="I485" s="42"/>
    </x:row>
    <x:row r="486">
      <x:c r="A486" s="42"/>
      <x:c r="B486" s="42"/>
      <x:c r="C486" s="42"/>
      <x:c r="D486" s="42"/>
      <x:c r="E486" s="68"/>
      <x:c r="F486" s="68"/>
      <x:c r="G486" s="42"/>
      <x:c r="H486" s="42"/>
      <x:c r="I486" s="42"/>
    </x:row>
    <x:row r="487">
      <x:c r="A487" s="42"/>
      <x:c r="B487" s="42"/>
      <x:c r="C487" s="42"/>
      <x:c r="D487" s="42"/>
      <x:c r="E487" s="68"/>
      <x:c r="F487" s="68"/>
      <x:c r="G487" s="42"/>
      <x:c r="H487" s="42"/>
      <x:c r="I487" s="42"/>
    </x:row>
    <x:row r="488">
      <x:c r="A488" s="42"/>
      <x:c r="B488" s="42"/>
      <x:c r="C488" s="42"/>
      <x:c r="D488" s="42"/>
      <x:c r="E488" s="68"/>
      <x:c r="F488" s="68"/>
      <x:c r="G488" s="42"/>
      <x:c r="H488" s="42"/>
      <x:c r="I488" s="42"/>
    </x:row>
    <x:row r="489">
      <x:c r="A489" s="42"/>
      <x:c r="B489" s="42"/>
      <x:c r="C489" s="42"/>
      <x:c r="D489" s="42"/>
      <x:c r="E489" s="68"/>
      <x:c r="F489" s="68"/>
      <x:c r="G489" s="42"/>
      <x:c r="H489" s="42"/>
      <x:c r="I489" s="42"/>
    </x:row>
    <x:row r="490">
      <x:c r="A490" s="42"/>
      <x:c r="B490" s="42"/>
      <x:c r="C490" s="42"/>
      <x:c r="D490" s="42"/>
      <x:c r="E490" s="68"/>
      <x:c r="F490" s="68"/>
      <x:c r="G490" s="42"/>
      <x:c r="H490" s="42"/>
      <x:c r="I490" s="42"/>
    </x:row>
    <x:row r="491">
      <x:c r="A491" s="42"/>
      <x:c r="B491" s="42"/>
      <x:c r="C491" s="42"/>
      <x:c r="D491" s="42"/>
      <x:c r="E491" s="68"/>
      <x:c r="F491" s="68"/>
      <x:c r="G491" s="42"/>
      <x:c r="H491" s="42"/>
      <x:c r="I491" s="42"/>
    </x:row>
    <x:row r="492">
      <x:c r="A492" s="42"/>
      <x:c r="B492" s="42"/>
      <x:c r="C492" s="42"/>
      <x:c r="D492" s="42"/>
      <x:c r="E492" s="68"/>
      <x:c r="F492" s="68"/>
      <x:c r="G492" s="42"/>
      <x:c r="H492" s="42"/>
      <x:c r="I492" s="42"/>
    </x:row>
    <x:row r="493">
      <x:c r="A493" s="42"/>
      <x:c r="B493" s="42"/>
      <x:c r="C493" s="42"/>
      <x:c r="D493" s="42"/>
      <x:c r="E493" s="68"/>
      <x:c r="F493" s="68"/>
      <x:c r="G493" s="42"/>
      <x:c r="H493" s="42"/>
      <x:c r="I493" s="42"/>
    </x:row>
    <x:row r="494">
      <x:c r="A494" s="42"/>
      <x:c r="B494" s="42"/>
      <x:c r="C494" s="42"/>
      <x:c r="D494" s="42"/>
      <x:c r="E494" s="68"/>
      <x:c r="F494" s="68"/>
      <x:c r="G494" s="42"/>
      <x:c r="H494" s="42"/>
      <x:c r="I494" s="42"/>
    </x:row>
    <x:row r="495">
      <x:c r="A495" s="42"/>
      <x:c r="B495" s="42"/>
      <x:c r="C495" s="42"/>
      <x:c r="D495" s="42"/>
      <x:c r="E495" s="68"/>
      <x:c r="F495" s="68"/>
      <x:c r="G495" s="42"/>
      <x:c r="H495" s="42"/>
      <x:c r="I495" s="42"/>
    </x:row>
    <x:row r="496">
      <x:c r="A496" s="42"/>
      <x:c r="B496" s="42"/>
      <x:c r="C496" s="42"/>
      <x:c r="D496" s="42"/>
      <x:c r="E496" s="68"/>
      <x:c r="F496" s="68"/>
      <x:c r="G496" s="42"/>
      <x:c r="H496" s="42"/>
      <x:c r="I496" s="42"/>
    </x:row>
    <x:row r="497">
      <x:c r="A497" s="42"/>
      <x:c r="B497" s="42"/>
      <x:c r="C497" s="42"/>
      <x:c r="D497" s="42"/>
      <x:c r="E497" s="68"/>
      <x:c r="F497" s="68"/>
      <x:c r="G497" s="42"/>
      <x:c r="H497" s="42"/>
      <x:c r="I497" s="42"/>
    </x:row>
    <x:row r="498">
      <x:c r="A498" s="42"/>
      <x:c r="B498" s="42"/>
      <x:c r="C498" s="42"/>
      <x:c r="D498" s="42"/>
      <x:c r="E498" s="68"/>
      <x:c r="F498" s="68"/>
      <x:c r="G498" s="42"/>
      <x:c r="H498" s="42"/>
      <x:c r="I498" s="42"/>
    </x:row>
    <x:row r="499">
      <x:c r="A499" s="42"/>
      <x:c r="B499" s="42"/>
      <x:c r="C499" s="42"/>
      <x:c r="D499" s="42"/>
      <x:c r="E499" s="68"/>
      <x:c r="F499" s="68"/>
      <x:c r="G499" s="42"/>
      <x:c r="H499" s="42"/>
      <x:c r="I499" s="42"/>
    </x:row>
    <x:row r="500">
      <x:c r="A500" s="42"/>
      <x:c r="B500" s="42"/>
      <x:c r="C500" s="42"/>
      <x:c r="D500" s="42"/>
      <x:c r="E500" s="68"/>
      <x:c r="F500" s="68"/>
      <x:c r="G500" s="42"/>
      <x:c r="H500" s="42"/>
      <x:c r="I500" s="42"/>
    </x:row>
    <x:row r="501">
      <x:c r="A501" s="42"/>
      <x:c r="B501" s="42"/>
      <x:c r="C501" s="42"/>
      <x:c r="D501" s="42"/>
      <x:c r="E501" s="68"/>
      <x:c r="F501" s="68"/>
      <x:c r="G501" s="42"/>
      <x:c r="H501" s="42"/>
      <x:c r="I501" s="42"/>
    </x:row>
    <x:row r="502">
      <x:c r="A502" s="42"/>
      <x:c r="B502" s="42"/>
      <x:c r="C502" s="42"/>
      <x:c r="D502" s="42"/>
      <x:c r="E502" s="68"/>
      <x:c r="F502" s="68"/>
      <x:c r="G502" s="42"/>
      <x:c r="H502" s="42"/>
      <x:c r="I502" s="42"/>
    </x:row>
    <x:row r="503">
      <x:c r="A503" s="42"/>
      <x:c r="B503" s="42"/>
      <x:c r="C503" s="42"/>
      <x:c r="D503" s="42"/>
      <x:c r="E503" s="68"/>
      <x:c r="F503" s="68"/>
      <x:c r="G503" s="42"/>
      <x:c r="H503" s="42"/>
      <x:c r="I503" s="42"/>
    </x:row>
    <x:row r="504">
      <x:c r="A504" s="42"/>
      <x:c r="B504" s="42"/>
      <x:c r="C504" s="42"/>
      <x:c r="D504" s="42"/>
      <x:c r="E504" s="68"/>
      <x:c r="F504" s="68"/>
      <x:c r="G504" s="42"/>
      <x:c r="H504" s="42"/>
      <x:c r="I504" s="42"/>
    </x:row>
  </x:sheetData>
  <x:mergeCells>
    <x:mergeCell ref="A1:I1"/>
    <x:mergeCell ref="A2:I2"/>
  </x:mergeCells>
  <x:dataValidations count="1">
    <x:dataValidation type="list" sqref="D5:D504">
      <x:formula1>"1,2,3,4,5"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0" hidden="0" customWidth="1"/>
    <x:col min="4" max="4" width="12" hidden="0" customWidth="1"/>
    <x:col min="5" max="5" width="24" hidden="0" customWidth="1"/>
    <x:col min="6" max="6" width="30" hidden="0" customWidth="1"/>
    <x:col min="7" max="7" width="12" hidden="0" customWidth="1"/>
    <x:col min="8" max="8" width="12" hidden="0" customWidth="1"/>
    <x:col min="9" max="9" width="18" hidden="0" customWidth="1"/>
    <x:col min="10" max="10" width="16" hidden="0" customWidth="1"/>
    <x:col min="11" max="11" width="16" hidden="0" customWidth="1"/>
    <x:col min="12" max="12" width="16" hidden="0" customWidth="1"/>
    <x:col min="13" max="13" width="17" hidden="0" customWidth="1"/>
    <x:col min="14" max="14" width="17" hidden="0" customWidth="1"/>
  </x:cols>
  <x:sheetData>
    <x:row r="1">
      <x:c r="A1" s="5" t="str">
        <x:v>Recipe Lines — one ingredient per row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65" t="str">
        <x:v>All rows for the same craft must share the same Craft Key. Mark normal resources Yes; artifacts/non-returnable inputs No.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</x:row>
    <x:row r="4" ht="34" customHeight="1">
      <x:c r="A4" s="36" t="str">
        <x:v>Craft Key</x:v>
      </x:c>
      <x:c r="B4" s="36" t="str">
        <x:v>Output Item ID</x:v>
      </x:c>
      <x:c r="C4" s="36" t="str">
        <x:v>Output Name</x:v>
      </x:c>
      <x:c r="D4" s="36" t="str">
        <x:v>Output Qty</x:v>
      </x:c>
      <x:c r="E4" s="36" t="str">
        <x:v>Material ID</x:v>
      </x:c>
      <x:c r="F4" s="36" t="str">
        <x:v>Material Name</x:v>
      </x:c>
      <x:c r="G4" s="36" t="str">
        <x:v>Qty / Craft</x:v>
      </x:c>
      <x:c r="H4" s="36" t="str">
        <x:v>Returnable?</x:v>
      </x:c>
      <x:c r="I4" s="36" t="str">
        <x:v>Buy Location</x:v>
      </x:c>
      <x:c r="J4" s="36" t="str">
        <x:v>Acquisition</x:v>
      </x:c>
      <x:c r="K4" s="36" t="str">
        <x:v>Price Override</x:v>
      </x:c>
      <x:c r="L4" s="36" t="str">
        <x:v>Market Unit Price</x:v>
      </x:c>
      <x:c r="M4" s="36" t="str">
        <x:v>Effective Unit Price</x:v>
      </x:c>
      <x:c r="N4" s="36" t="str">
        <x:v>Gross Line Cost</x:v>
      </x:c>
    </x:row>
    <x:row r="5">
      <x:c r="A5" s="42"/>
      <x:c r="B5" s="42"/>
      <x:c r="C5" s="42"/>
      <x:c r="D5" s="42"/>
      <x:c r="E5" s="42"/>
      <x:c r="F5" s="42"/>
      <x:c r="G5" s="70"/>
      <x:c r="H5" s="42"/>
      <x:c r="I5" s="42"/>
      <x:c r="J5" s="42"/>
      <x:c r="K5" s="72"/>
      <x:c r="L5" s="73" t="str">
        <x:f>IF(A5="","",IF(K5&gt;0,K5,IF(J5="Buy Order",SUMIFS('Market Data'!$F$5:$F$504,'Market Data'!$A$5:$A$504,I5,'Market Data'!$B$5:$B$504,E5,'Market Data'!$D$5:$D$504,1),SUMIFS('Market Data'!$E$5:$E$504,'Market Data'!$A$5:$A$504,I5,'Market Data'!$B$5:$B$504,E5,'Market Data'!$D$5:$D$504,1))))</x:f>
      </x:c>
      <x:c r="M5" s="73" t="str">
        <x:f>IF(A5="","",L5*(1+IF(J5="Buy Order",Settings!$B$16,0)))</x:f>
      </x:c>
      <x:c r="N5" s="73" t="str">
        <x:f>IF(A5="","",G5*M5)</x:f>
      </x:c>
    </x:row>
    <x:row r="6">
      <x:c r="A6" s="42"/>
      <x:c r="B6" s="42"/>
      <x:c r="C6" s="42"/>
      <x:c r="D6" s="42"/>
      <x:c r="E6" s="42"/>
      <x:c r="F6" s="42"/>
      <x:c r="G6" s="70"/>
      <x:c r="H6" s="42"/>
      <x:c r="I6" s="42"/>
      <x:c r="J6" s="42"/>
      <x:c r="K6" s="72"/>
      <x:c r="L6" s="73" t="str">
        <x:f>IF(A6="","",IF(K6&gt;0,K6,IF(J6="Buy Order",SUMIFS('Market Data'!$F$5:$F$504,'Market Data'!$A$5:$A$504,I6,'Market Data'!$B$5:$B$504,E6,'Market Data'!$D$5:$D$504,1),SUMIFS('Market Data'!$E$5:$E$504,'Market Data'!$A$5:$A$504,I6,'Market Data'!$B$5:$B$504,E6,'Market Data'!$D$5:$D$504,1))))</x:f>
      </x:c>
      <x:c r="M6" s="73" t="str">
        <x:f>IF(A6="","",L6*(1+IF(J6="Buy Order",Settings!$B$16,0)))</x:f>
      </x:c>
      <x:c r="N6" s="73" t="str">
        <x:f>IF(A6="","",G6*M6)</x:f>
      </x:c>
    </x:row>
    <x:row r="7">
      <x:c r="A7" s="42"/>
      <x:c r="B7" s="42"/>
      <x:c r="C7" s="42"/>
      <x:c r="D7" s="42"/>
      <x:c r="E7" s="42"/>
      <x:c r="F7" s="42"/>
      <x:c r="G7" s="70"/>
      <x:c r="H7" s="42"/>
      <x:c r="I7" s="42"/>
      <x:c r="J7" s="42"/>
      <x:c r="K7" s="72"/>
      <x:c r="L7" s="73" t="str">
        <x:f>IF(A7="","",IF(K7&gt;0,K7,IF(J7="Buy Order",SUMIFS('Market Data'!$F$5:$F$504,'Market Data'!$A$5:$A$504,I7,'Market Data'!$B$5:$B$504,E7,'Market Data'!$D$5:$D$504,1),SUMIFS('Market Data'!$E$5:$E$504,'Market Data'!$A$5:$A$504,I7,'Market Data'!$B$5:$B$504,E7,'Market Data'!$D$5:$D$504,1))))</x:f>
      </x:c>
      <x:c r="M7" s="73" t="str">
        <x:f>IF(A7="","",L7*(1+IF(J7="Buy Order",Settings!$B$16,0)))</x:f>
      </x:c>
      <x:c r="N7" s="73" t="str">
        <x:f>IF(A7="","",G7*M7)</x:f>
      </x:c>
    </x:row>
    <x:row r="8">
      <x:c r="A8" s="42"/>
      <x:c r="B8" s="42"/>
      <x:c r="C8" s="42"/>
      <x:c r="D8" s="42"/>
      <x:c r="E8" s="42"/>
      <x:c r="F8" s="42"/>
      <x:c r="G8" s="70"/>
      <x:c r="H8" s="42"/>
      <x:c r="I8" s="42"/>
      <x:c r="J8" s="42"/>
      <x:c r="K8" s="72"/>
      <x:c r="L8" s="73" t="str">
        <x:f>IF(A8="","",IF(K8&gt;0,K8,IF(J8="Buy Order",SUMIFS('Market Data'!$F$5:$F$504,'Market Data'!$A$5:$A$504,I8,'Market Data'!$B$5:$B$504,E8,'Market Data'!$D$5:$D$504,1),SUMIFS('Market Data'!$E$5:$E$504,'Market Data'!$A$5:$A$504,I8,'Market Data'!$B$5:$B$504,E8,'Market Data'!$D$5:$D$504,1))))</x:f>
      </x:c>
      <x:c r="M8" s="73" t="str">
        <x:f>IF(A8="","",L8*(1+IF(J8="Buy Order",Settings!$B$16,0)))</x:f>
      </x:c>
      <x:c r="N8" s="73" t="str">
        <x:f>IF(A8="","",G8*M8)</x:f>
      </x:c>
    </x:row>
    <x:row r="9">
      <x:c r="A9" s="42"/>
      <x:c r="B9" s="42"/>
      <x:c r="C9" s="42"/>
      <x:c r="D9" s="42"/>
      <x:c r="E9" s="42"/>
      <x:c r="F9" s="42"/>
      <x:c r="G9" s="70"/>
      <x:c r="H9" s="42"/>
      <x:c r="I9" s="42"/>
      <x:c r="J9" s="42"/>
      <x:c r="K9" s="72"/>
      <x:c r="L9" s="73" t="str">
        <x:f>IF(A9="","",IF(K9&gt;0,K9,IF(J9="Buy Order",SUMIFS('Market Data'!$F$5:$F$504,'Market Data'!$A$5:$A$504,I9,'Market Data'!$B$5:$B$504,E9,'Market Data'!$D$5:$D$504,1),SUMIFS('Market Data'!$E$5:$E$504,'Market Data'!$A$5:$A$504,I9,'Market Data'!$B$5:$B$504,E9,'Market Data'!$D$5:$D$504,1))))</x:f>
      </x:c>
      <x:c r="M9" s="73" t="str">
        <x:f>IF(A9="","",L9*(1+IF(J9="Buy Order",Settings!$B$16,0)))</x:f>
      </x:c>
      <x:c r="N9" s="73" t="str">
        <x:f>IF(A9="","",G9*M9)</x:f>
      </x:c>
    </x:row>
    <x:row r="10">
      <x:c r="A10" s="42"/>
      <x:c r="B10" s="42"/>
      <x:c r="C10" s="42"/>
      <x:c r="D10" s="42"/>
      <x:c r="E10" s="42"/>
      <x:c r="F10" s="42"/>
      <x:c r="G10" s="70"/>
      <x:c r="H10" s="42"/>
      <x:c r="I10" s="42"/>
      <x:c r="J10" s="42"/>
      <x:c r="K10" s="72"/>
      <x:c r="L10" s="73" t="str">
        <x:f>IF(A10="","",IF(K10&gt;0,K10,IF(J10="Buy Order",SUMIFS('Market Data'!$F$5:$F$504,'Market Data'!$A$5:$A$504,I10,'Market Data'!$B$5:$B$504,E10,'Market Data'!$D$5:$D$504,1),SUMIFS('Market Data'!$E$5:$E$504,'Market Data'!$A$5:$A$504,I10,'Market Data'!$B$5:$B$504,E10,'Market Data'!$D$5:$D$504,1))))</x:f>
      </x:c>
      <x:c r="M10" s="73" t="str">
        <x:f>IF(A10="","",L10*(1+IF(J10="Buy Order",Settings!$B$16,0)))</x:f>
      </x:c>
      <x:c r="N10" s="73" t="str">
        <x:f>IF(A10="","",G10*M10)</x:f>
      </x:c>
    </x:row>
    <x:row r="11">
      <x:c r="A11" s="42"/>
      <x:c r="B11" s="42"/>
      <x:c r="C11" s="42"/>
      <x:c r="D11" s="42"/>
      <x:c r="E11" s="42"/>
      <x:c r="F11" s="42"/>
      <x:c r="G11" s="70"/>
      <x:c r="H11" s="42"/>
      <x:c r="I11" s="42"/>
      <x:c r="J11" s="42"/>
      <x:c r="K11" s="72"/>
      <x:c r="L11" s="73" t="str">
        <x:f>IF(A11="","",IF(K11&gt;0,K11,IF(J11="Buy Order",SUMIFS('Market Data'!$F$5:$F$504,'Market Data'!$A$5:$A$504,I11,'Market Data'!$B$5:$B$504,E11,'Market Data'!$D$5:$D$504,1),SUMIFS('Market Data'!$E$5:$E$504,'Market Data'!$A$5:$A$504,I11,'Market Data'!$B$5:$B$504,E11,'Market Data'!$D$5:$D$504,1))))</x:f>
      </x:c>
      <x:c r="M11" s="73" t="str">
        <x:f>IF(A11="","",L11*(1+IF(J11="Buy Order",Settings!$B$16,0)))</x:f>
      </x:c>
      <x:c r="N11" s="73" t="str">
        <x:f>IF(A11="","",G11*M11)</x:f>
      </x:c>
    </x:row>
    <x:row r="12">
      <x:c r="A12" s="42"/>
      <x:c r="B12" s="42"/>
      <x:c r="C12" s="42"/>
      <x:c r="D12" s="42"/>
      <x:c r="E12" s="42"/>
      <x:c r="F12" s="42"/>
      <x:c r="G12" s="70"/>
      <x:c r="H12" s="42"/>
      <x:c r="I12" s="42"/>
      <x:c r="J12" s="42"/>
      <x:c r="K12" s="72"/>
      <x:c r="L12" s="73" t="str">
        <x:f>IF(A12="","",IF(K12&gt;0,K12,IF(J12="Buy Order",SUMIFS('Market Data'!$F$5:$F$504,'Market Data'!$A$5:$A$504,I12,'Market Data'!$B$5:$B$504,E12,'Market Data'!$D$5:$D$504,1),SUMIFS('Market Data'!$E$5:$E$504,'Market Data'!$A$5:$A$504,I12,'Market Data'!$B$5:$B$504,E12,'Market Data'!$D$5:$D$504,1))))</x:f>
      </x:c>
      <x:c r="M12" s="73" t="str">
        <x:f>IF(A12="","",L12*(1+IF(J12="Buy Order",Settings!$B$16,0)))</x:f>
      </x:c>
      <x:c r="N12" s="73" t="str">
        <x:f>IF(A12="","",G12*M12)</x:f>
      </x:c>
    </x:row>
    <x:row r="13">
      <x:c r="A13" s="42"/>
      <x:c r="B13" s="42"/>
      <x:c r="C13" s="42"/>
      <x:c r="D13" s="42"/>
      <x:c r="E13" s="42"/>
      <x:c r="F13" s="42"/>
      <x:c r="G13" s="70"/>
      <x:c r="H13" s="42"/>
      <x:c r="I13" s="42"/>
      <x:c r="J13" s="42"/>
      <x:c r="K13" s="72"/>
      <x:c r="L13" s="73" t="str">
        <x:f>IF(A13="","",IF(K13&gt;0,K13,IF(J13="Buy Order",SUMIFS('Market Data'!$F$5:$F$504,'Market Data'!$A$5:$A$504,I13,'Market Data'!$B$5:$B$504,E13,'Market Data'!$D$5:$D$504,1),SUMIFS('Market Data'!$E$5:$E$504,'Market Data'!$A$5:$A$504,I13,'Market Data'!$B$5:$B$504,E13,'Market Data'!$D$5:$D$504,1))))</x:f>
      </x:c>
      <x:c r="M13" s="73" t="str">
        <x:f>IF(A13="","",L13*(1+IF(J13="Buy Order",Settings!$B$16,0)))</x:f>
      </x:c>
      <x:c r="N13" s="73" t="str">
        <x:f>IF(A13="","",G13*M13)</x:f>
      </x:c>
    </x:row>
    <x:row r="14">
      <x:c r="A14" s="42"/>
      <x:c r="B14" s="42"/>
      <x:c r="C14" s="42"/>
      <x:c r="D14" s="42"/>
      <x:c r="E14" s="42"/>
      <x:c r="F14" s="42"/>
      <x:c r="G14" s="70"/>
      <x:c r="H14" s="42"/>
      <x:c r="I14" s="42"/>
      <x:c r="J14" s="42"/>
      <x:c r="K14" s="72"/>
      <x:c r="L14" s="73" t="str">
        <x:f>IF(A14="","",IF(K14&gt;0,K14,IF(J14="Buy Order",SUMIFS('Market Data'!$F$5:$F$504,'Market Data'!$A$5:$A$504,I14,'Market Data'!$B$5:$B$504,E14,'Market Data'!$D$5:$D$504,1),SUMIFS('Market Data'!$E$5:$E$504,'Market Data'!$A$5:$A$504,I14,'Market Data'!$B$5:$B$504,E14,'Market Data'!$D$5:$D$504,1))))</x:f>
      </x:c>
      <x:c r="M14" s="73" t="str">
        <x:f>IF(A14="","",L14*(1+IF(J14="Buy Order",Settings!$B$16,0)))</x:f>
      </x:c>
      <x:c r="N14" s="73" t="str">
        <x:f>IF(A14="","",G14*M14)</x:f>
      </x:c>
    </x:row>
    <x:row r="15">
      <x:c r="A15" s="42"/>
      <x:c r="B15" s="42"/>
      <x:c r="C15" s="42"/>
      <x:c r="D15" s="42"/>
      <x:c r="E15" s="42"/>
      <x:c r="F15" s="42"/>
      <x:c r="G15" s="70"/>
      <x:c r="H15" s="42"/>
      <x:c r="I15" s="42"/>
      <x:c r="J15" s="42"/>
      <x:c r="K15" s="72"/>
      <x:c r="L15" s="73" t="str">
        <x:f>IF(A15="","",IF(K15&gt;0,K15,IF(J15="Buy Order",SUMIFS('Market Data'!$F$5:$F$504,'Market Data'!$A$5:$A$504,I15,'Market Data'!$B$5:$B$504,E15,'Market Data'!$D$5:$D$504,1),SUMIFS('Market Data'!$E$5:$E$504,'Market Data'!$A$5:$A$504,I15,'Market Data'!$B$5:$B$504,E15,'Market Data'!$D$5:$D$504,1))))</x:f>
      </x:c>
      <x:c r="M15" s="73" t="str">
        <x:f>IF(A15="","",L15*(1+IF(J15="Buy Order",Settings!$B$16,0)))</x:f>
      </x:c>
      <x:c r="N15" s="73" t="str">
        <x:f>IF(A15="","",G15*M15)</x:f>
      </x:c>
    </x:row>
    <x:row r="16">
      <x:c r="A16" s="42"/>
      <x:c r="B16" s="42"/>
      <x:c r="C16" s="42"/>
      <x:c r="D16" s="42"/>
      <x:c r="E16" s="42"/>
      <x:c r="F16" s="42"/>
      <x:c r="G16" s="70"/>
      <x:c r="H16" s="42"/>
      <x:c r="I16" s="42"/>
      <x:c r="J16" s="42"/>
      <x:c r="K16" s="72"/>
      <x:c r="L16" s="73" t="str">
        <x:f>IF(A16="","",IF(K16&gt;0,K16,IF(J16="Buy Order",SUMIFS('Market Data'!$F$5:$F$504,'Market Data'!$A$5:$A$504,I16,'Market Data'!$B$5:$B$504,E16,'Market Data'!$D$5:$D$504,1),SUMIFS('Market Data'!$E$5:$E$504,'Market Data'!$A$5:$A$504,I16,'Market Data'!$B$5:$B$504,E16,'Market Data'!$D$5:$D$504,1))))</x:f>
      </x:c>
      <x:c r="M16" s="73" t="str">
        <x:f>IF(A16="","",L16*(1+IF(J16="Buy Order",Settings!$B$16,0)))</x:f>
      </x:c>
      <x:c r="N16" s="73" t="str">
        <x:f>IF(A16="","",G16*M16)</x:f>
      </x:c>
    </x:row>
    <x:row r="17">
      <x:c r="A17" s="42"/>
      <x:c r="B17" s="42"/>
      <x:c r="C17" s="42"/>
      <x:c r="D17" s="42"/>
      <x:c r="E17" s="42"/>
      <x:c r="F17" s="42"/>
      <x:c r="G17" s="70"/>
      <x:c r="H17" s="42"/>
      <x:c r="I17" s="42"/>
      <x:c r="J17" s="42"/>
      <x:c r="K17" s="72"/>
      <x:c r="L17" s="73" t="str">
        <x:f>IF(A17="","",IF(K17&gt;0,K17,IF(J17="Buy Order",SUMIFS('Market Data'!$F$5:$F$504,'Market Data'!$A$5:$A$504,I17,'Market Data'!$B$5:$B$504,E17,'Market Data'!$D$5:$D$504,1),SUMIFS('Market Data'!$E$5:$E$504,'Market Data'!$A$5:$A$504,I17,'Market Data'!$B$5:$B$504,E17,'Market Data'!$D$5:$D$504,1))))</x:f>
      </x:c>
      <x:c r="M17" s="73" t="str">
        <x:f>IF(A17="","",L17*(1+IF(J17="Buy Order",Settings!$B$16,0)))</x:f>
      </x:c>
      <x:c r="N17" s="73" t="str">
        <x:f>IF(A17="","",G17*M17)</x:f>
      </x:c>
    </x:row>
    <x:row r="18">
      <x:c r="A18" s="42"/>
      <x:c r="B18" s="42"/>
      <x:c r="C18" s="42"/>
      <x:c r="D18" s="42"/>
      <x:c r="E18" s="42"/>
      <x:c r="F18" s="42"/>
      <x:c r="G18" s="70"/>
      <x:c r="H18" s="42"/>
      <x:c r="I18" s="42"/>
      <x:c r="J18" s="42"/>
      <x:c r="K18" s="72"/>
      <x:c r="L18" s="73" t="str">
        <x:f>IF(A18="","",IF(K18&gt;0,K18,IF(J18="Buy Order",SUMIFS('Market Data'!$F$5:$F$504,'Market Data'!$A$5:$A$504,I18,'Market Data'!$B$5:$B$504,E18,'Market Data'!$D$5:$D$504,1),SUMIFS('Market Data'!$E$5:$E$504,'Market Data'!$A$5:$A$504,I18,'Market Data'!$B$5:$B$504,E18,'Market Data'!$D$5:$D$504,1))))</x:f>
      </x:c>
      <x:c r="M18" s="73" t="str">
        <x:f>IF(A18="","",L18*(1+IF(J18="Buy Order",Settings!$B$16,0)))</x:f>
      </x:c>
      <x:c r="N18" s="73" t="str">
        <x:f>IF(A18="","",G18*M18)</x:f>
      </x:c>
    </x:row>
    <x:row r="19">
      <x:c r="A19" s="42"/>
      <x:c r="B19" s="42"/>
      <x:c r="C19" s="42"/>
      <x:c r="D19" s="42"/>
      <x:c r="E19" s="42"/>
      <x:c r="F19" s="42"/>
      <x:c r="G19" s="70"/>
      <x:c r="H19" s="42"/>
      <x:c r="I19" s="42"/>
      <x:c r="J19" s="42"/>
      <x:c r="K19" s="72"/>
      <x:c r="L19" s="73" t="str">
        <x:f>IF(A19="","",IF(K19&gt;0,K19,IF(J19="Buy Order",SUMIFS('Market Data'!$F$5:$F$504,'Market Data'!$A$5:$A$504,I19,'Market Data'!$B$5:$B$504,E19,'Market Data'!$D$5:$D$504,1),SUMIFS('Market Data'!$E$5:$E$504,'Market Data'!$A$5:$A$504,I19,'Market Data'!$B$5:$B$504,E19,'Market Data'!$D$5:$D$504,1))))</x:f>
      </x:c>
      <x:c r="M19" s="73" t="str">
        <x:f>IF(A19="","",L19*(1+IF(J19="Buy Order",Settings!$B$16,0)))</x:f>
      </x:c>
      <x:c r="N19" s="73" t="str">
        <x:f>IF(A19="","",G19*M19)</x:f>
      </x:c>
    </x:row>
    <x:row r="20">
      <x:c r="A20" s="42"/>
      <x:c r="B20" s="42"/>
      <x:c r="C20" s="42"/>
      <x:c r="D20" s="42"/>
      <x:c r="E20" s="42"/>
      <x:c r="F20" s="42"/>
      <x:c r="G20" s="70"/>
      <x:c r="H20" s="42"/>
      <x:c r="I20" s="42"/>
      <x:c r="J20" s="42"/>
      <x:c r="K20" s="72"/>
      <x:c r="L20" s="73" t="str">
        <x:f>IF(A20="","",IF(K20&gt;0,K20,IF(J20="Buy Order",SUMIFS('Market Data'!$F$5:$F$504,'Market Data'!$A$5:$A$504,I20,'Market Data'!$B$5:$B$504,E20,'Market Data'!$D$5:$D$504,1),SUMIFS('Market Data'!$E$5:$E$504,'Market Data'!$A$5:$A$504,I20,'Market Data'!$B$5:$B$504,E20,'Market Data'!$D$5:$D$504,1))))</x:f>
      </x:c>
      <x:c r="M20" s="73" t="str">
        <x:f>IF(A20="","",L20*(1+IF(J20="Buy Order",Settings!$B$16,0)))</x:f>
      </x:c>
      <x:c r="N20" s="73" t="str">
        <x:f>IF(A20="","",G20*M20)</x:f>
      </x:c>
    </x:row>
    <x:row r="21">
      <x:c r="A21" s="42"/>
      <x:c r="B21" s="42"/>
      <x:c r="C21" s="42"/>
      <x:c r="D21" s="42"/>
      <x:c r="E21" s="42"/>
      <x:c r="F21" s="42"/>
      <x:c r="G21" s="70"/>
      <x:c r="H21" s="42"/>
      <x:c r="I21" s="42"/>
      <x:c r="J21" s="42"/>
      <x:c r="K21" s="72"/>
      <x:c r="L21" s="73" t="str">
        <x:f>IF(A21="","",IF(K21&gt;0,K21,IF(J21="Buy Order",SUMIFS('Market Data'!$F$5:$F$504,'Market Data'!$A$5:$A$504,I21,'Market Data'!$B$5:$B$504,E21,'Market Data'!$D$5:$D$504,1),SUMIFS('Market Data'!$E$5:$E$504,'Market Data'!$A$5:$A$504,I21,'Market Data'!$B$5:$B$504,E21,'Market Data'!$D$5:$D$504,1))))</x:f>
      </x:c>
      <x:c r="M21" s="73" t="str">
        <x:f>IF(A21="","",L21*(1+IF(J21="Buy Order",Settings!$B$16,0)))</x:f>
      </x:c>
      <x:c r="N21" s="73" t="str">
        <x:f>IF(A21="","",G21*M21)</x:f>
      </x:c>
    </x:row>
    <x:row r="22">
      <x:c r="A22" s="42"/>
      <x:c r="B22" s="42"/>
      <x:c r="C22" s="42"/>
      <x:c r="D22" s="42"/>
      <x:c r="E22" s="42"/>
      <x:c r="F22" s="42"/>
      <x:c r="G22" s="70"/>
      <x:c r="H22" s="42"/>
      <x:c r="I22" s="42"/>
      <x:c r="J22" s="42"/>
      <x:c r="K22" s="72"/>
      <x:c r="L22" s="73" t="str">
        <x:f>IF(A22="","",IF(K22&gt;0,K22,IF(J22="Buy Order",SUMIFS('Market Data'!$F$5:$F$504,'Market Data'!$A$5:$A$504,I22,'Market Data'!$B$5:$B$504,E22,'Market Data'!$D$5:$D$504,1),SUMIFS('Market Data'!$E$5:$E$504,'Market Data'!$A$5:$A$504,I22,'Market Data'!$B$5:$B$504,E22,'Market Data'!$D$5:$D$504,1))))</x:f>
      </x:c>
      <x:c r="M22" s="73" t="str">
        <x:f>IF(A22="","",L22*(1+IF(J22="Buy Order",Settings!$B$16,0)))</x:f>
      </x:c>
      <x:c r="N22" s="73" t="str">
        <x:f>IF(A22="","",G22*M22)</x:f>
      </x:c>
    </x:row>
    <x:row r="23">
      <x:c r="A23" s="42"/>
      <x:c r="B23" s="42"/>
      <x:c r="C23" s="42"/>
      <x:c r="D23" s="42"/>
      <x:c r="E23" s="42"/>
      <x:c r="F23" s="42"/>
      <x:c r="G23" s="70"/>
      <x:c r="H23" s="42"/>
      <x:c r="I23" s="42"/>
      <x:c r="J23" s="42"/>
      <x:c r="K23" s="72"/>
      <x:c r="L23" s="73" t="str">
        <x:f>IF(A23="","",IF(K23&gt;0,K23,IF(J23="Buy Order",SUMIFS('Market Data'!$F$5:$F$504,'Market Data'!$A$5:$A$504,I23,'Market Data'!$B$5:$B$504,E23,'Market Data'!$D$5:$D$504,1),SUMIFS('Market Data'!$E$5:$E$504,'Market Data'!$A$5:$A$504,I23,'Market Data'!$B$5:$B$504,E23,'Market Data'!$D$5:$D$504,1))))</x:f>
      </x:c>
      <x:c r="M23" s="73" t="str">
        <x:f>IF(A23="","",L23*(1+IF(J23="Buy Order",Settings!$B$16,0)))</x:f>
      </x:c>
      <x:c r="N23" s="73" t="str">
        <x:f>IF(A23="","",G23*M23)</x:f>
      </x:c>
    </x:row>
    <x:row r="24">
      <x:c r="A24" s="42"/>
      <x:c r="B24" s="42"/>
      <x:c r="C24" s="42"/>
      <x:c r="D24" s="42"/>
      <x:c r="E24" s="42"/>
      <x:c r="F24" s="42"/>
      <x:c r="G24" s="70"/>
      <x:c r="H24" s="42"/>
      <x:c r="I24" s="42"/>
      <x:c r="J24" s="42"/>
      <x:c r="K24" s="72"/>
      <x:c r="L24" s="73" t="str">
        <x:f>IF(A24="","",IF(K24&gt;0,K24,IF(J24="Buy Order",SUMIFS('Market Data'!$F$5:$F$504,'Market Data'!$A$5:$A$504,I24,'Market Data'!$B$5:$B$504,E24,'Market Data'!$D$5:$D$504,1),SUMIFS('Market Data'!$E$5:$E$504,'Market Data'!$A$5:$A$504,I24,'Market Data'!$B$5:$B$504,E24,'Market Data'!$D$5:$D$504,1))))</x:f>
      </x:c>
      <x:c r="M24" s="73" t="str">
        <x:f>IF(A24="","",L24*(1+IF(J24="Buy Order",Settings!$B$16,0)))</x:f>
      </x:c>
      <x:c r="N24" s="73" t="str">
        <x:f>IF(A24="","",G24*M24)</x:f>
      </x:c>
    </x:row>
    <x:row r="25">
      <x:c r="A25" s="42"/>
      <x:c r="B25" s="42"/>
      <x:c r="C25" s="42"/>
      <x:c r="D25" s="42"/>
      <x:c r="E25" s="42"/>
      <x:c r="F25" s="42"/>
      <x:c r="G25" s="70"/>
      <x:c r="H25" s="42"/>
      <x:c r="I25" s="42"/>
      <x:c r="J25" s="42"/>
      <x:c r="K25" s="72"/>
      <x:c r="L25" s="73" t="str">
        <x:f>IF(A25="","",IF(K25&gt;0,K25,IF(J25="Buy Order",SUMIFS('Market Data'!$F$5:$F$504,'Market Data'!$A$5:$A$504,I25,'Market Data'!$B$5:$B$504,E25,'Market Data'!$D$5:$D$504,1),SUMIFS('Market Data'!$E$5:$E$504,'Market Data'!$A$5:$A$504,I25,'Market Data'!$B$5:$B$504,E25,'Market Data'!$D$5:$D$504,1))))</x:f>
      </x:c>
      <x:c r="M25" s="73" t="str">
        <x:f>IF(A25="","",L25*(1+IF(J25="Buy Order",Settings!$B$16,0)))</x:f>
      </x:c>
      <x:c r="N25" s="73" t="str">
        <x:f>IF(A25="","",G25*M25)</x:f>
      </x:c>
    </x:row>
    <x:row r="26">
      <x:c r="A26" s="42"/>
      <x:c r="B26" s="42"/>
      <x:c r="C26" s="42"/>
      <x:c r="D26" s="42"/>
      <x:c r="E26" s="42"/>
      <x:c r="F26" s="42"/>
      <x:c r="G26" s="70"/>
      <x:c r="H26" s="42"/>
      <x:c r="I26" s="42"/>
      <x:c r="J26" s="42"/>
      <x:c r="K26" s="72"/>
      <x:c r="L26" s="73" t="str">
        <x:f>IF(A26="","",IF(K26&gt;0,K26,IF(J26="Buy Order",SUMIFS('Market Data'!$F$5:$F$504,'Market Data'!$A$5:$A$504,I26,'Market Data'!$B$5:$B$504,E26,'Market Data'!$D$5:$D$504,1),SUMIFS('Market Data'!$E$5:$E$504,'Market Data'!$A$5:$A$504,I26,'Market Data'!$B$5:$B$504,E26,'Market Data'!$D$5:$D$504,1))))</x:f>
      </x:c>
      <x:c r="M26" s="73" t="str">
        <x:f>IF(A26="","",L26*(1+IF(J26="Buy Order",Settings!$B$16,0)))</x:f>
      </x:c>
      <x:c r="N26" s="73" t="str">
        <x:f>IF(A26="","",G26*M26)</x:f>
      </x:c>
    </x:row>
    <x:row r="27">
      <x:c r="A27" s="42"/>
      <x:c r="B27" s="42"/>
      <x:c r="C27" s="42"/>
      <x:c r="D27" s="42"/>
      <x:c r="E27" s="42"/>
      <x:c r="F27" s="42"/>
      <x:c r="G27" s="70"/>
      <x:c r="H27" s="42"/>
      <x:c r="I27" s="42"/>
      <x:c r="J27" s="42"/>
      <x:c r="K27" s="72"/>
      <x:c r="L27" s="73" t="str">
        <x:f>IF(A27="","",IF(K27&gt;0,K27,IF(J27="Buy Order",SUMIFS('Market Data'!$F$5:$F$504,'Market Data'!$A$5:$A$504,I27,'Market Data'!$B$5:$B$504,E27,'Market Data'!$D$5:$D$504,1),SUMIFS('Market Data'!$E$5:$E$504,'Market Data'!$A$5:$A$504,I27,'Market Data'!$B$5:$B$504,E27,'Market Data'!$D$5:$D$504,1))))</x:f>
      </x:c>
      <x:c r="M27" s="73" t="str">
        <x:f>IF(A27="","",L27*(1+IF(J27="Buy Order",Settings!$B$16,0)))</x:f>
      </x:c>
      <x:c r="N27" s="73" t="str">
        <x:f>IF(A27="","",G27*M27)</x:f>
      </x:c>
    </x:row>
    <x:row r="28">
      <x:c r="A28" s="42"/>
      <x:c r="B28" s="42"/>
      <x:c r="C28" s="42"/>
      <x:c r="D28" s="42"/>
      <x:c r="E28" s="42"/>
      <x:c r="F28" s="42"/>
      <x:c r="G28" s="70"/>
      <x:c r="H28" s="42"/>
      <x:c r="I28" s="42"/>
      <x:c r="J28" s="42"/>
      <x:c r="K28" s="72"/>
      <x:c r="L28" s="73" t="str">
        <x:f>IF(A28="","",IF(K28&gt;0,K28,IF(J28="Buy Order",SUMIFS('Market Data'!$F$5:$F$504,'Market Data'!$A$5:$A$504,I28,'Market Data'!$B$5:$B$504,E28,'Market Data'!$D$5:$D$504,1),SUMIFS('Market Data'!$E$5:$E$504,'Market Data'!$A$5:$A$504,I28,'Market Data'!$B$5:$B$504,E28,'Market Data'!$D$5:$D$504,1))))</x:f>
      </x:c>
      <x:c r="M28" s="73" t="str">
        <x:f>IF(A28="","",L28*(1+IF(J28="Buy Order",Settings!$B$16,0)))</x:f>
      </x:c>
      <x:c r="N28" s="73" t="str">
        <x:f>IF(A28="","",G28*M28)</x:f>
      </x:c>
    </x:row>
    <x:row r="29">
      <x:c r="A29" s="42"/>
      <x:c r="B29" s="42"/>
      <x:c r="C29" s="42"/>
      <x:c r="D29" s="42"/>
      <x:c r="E29" s="42"/>
      <x:c r="F29" s="42"/>
      <x:c r="G29" s="70"/>
      <x:c r="H29" s="42"/>
      <x:c r="I29" s="42"/>
      <x:c r="J29" s="42"/>
      <x:c r="K29" s="72"/>
      <x:c r="L29" s="73" t="str">
        <x:f>IF(A29="","",IF(K29&gt;0,K29,IF(J29="Buy Order",SUMIFS('Market Data'!$F$5:$F$504,'Market Data'!$A$5:$A$504,I29,'Market Data'!$B$5:$B$504,E29,'Market Data'!$D$5:$D$504,1),SUMIFS('Market Data'!$E$5:$E$504,'Market Data'!$A$5:$A$504,I29,'Market Data'!$B$5:$B$504,E29,'Market Data'!$D$5:$D$504,1))))</x:f>
      </x:c>
      <x:c r="M29" s="73" t="str">
        <x:f>IF(A29="","",L29*(1+IF(J29="Buy Order",Settings!$B$16,0)))</x:f>
      </x:c>
      <x:c r="N29" s="73" t="str">
        <x:f>IF(A29="","",G29*M29)</x:f>
      </x:c>
    </x:row>
    <x:row r="30">
      <x:c r="A30" s="42"/>
      <x:c r="B30" s="42"/>
      <x:c r="C30" s="42"/>
      <x:c r="D30" s="42"/>
      <x:c r="E30" s="42"/>
      <x:c r="F30" s="42"/>
      <x:c r="G30" s="70"/>
      <x:c r="H30" s="42"/>
      <x:c r="I30" s="42"/>
      <x:c r="J30" s="42"/>
      <x:c r="K30" s="72"/>
      <x:c r="L30" s="73" t="str">
        <x:f>IF(A30="","",IF(K30&gt;0,K30,IF(J30="Buy Order",SUMIFS('Market Data'!$F$5:$F$504,'Market Data'!$A$5:$A$504,I30,'Market Data'!$B$5:$B$504,E30,'Market Data'!$D$5:$D$504,1),SUMIFS('Market Data'!$E$5:$E$504,'Market Data'!$A$5:$A$504,I30,'Market Data'!$B$5:$B$504,E30,'Market Data'!$D$5:$D$504,1))))</x:f>
      </x:c>
      <x:c r="M30" s="73" t="str">
        <x:f>IF(A30="","",L30*(1+IF(J30="Buy Order",Settings!$B$16,0)))</x:f>
      </x:c>
      <x:c r="N30" s="73" t="str">
        <x:f>IF(A30="","",G30*M30)</x:f>
      </x:c>
    </x:row>
    <x:row r="31">
      <x:c r="A31" s="42"/>
      <x:c r="B31" s="42"/>
      <x:c r="C31" s="42"/>
      <x:c r="D31" s="42"/>
      <x:c r="E31" s="42"/>
      <x:c r="F31" s="42"/>
      <x:c r="G31" s="70"/>
      <x:c r="H31" s="42"/>
      <x:c r="I31" s="42"/>
      <x:c r="J31" s="42"/>
      <x:c r="K31" s="72"/>
      <x:c r="L31" s="73" t="str">
        <x:f>IF(A31="","",IF(K31&gt;0,K31,IF(J31="Buy Order",SUMIFS('Market Data'!$F$5:$F$504,'Market Data'!$A$5:$A$504,I31,'Market Data'!$B$5:$B$504,E31,'Market Data'!$D$5:$D$504,1),SUMIFS('Market Data'!$E$5:$E$504,'Market Data'!$A$5:$A$504,I31,'Market Data'!$B$5:$B$504,E31,'Market Data'!$D$5:$D$504,1))))</x:f>
      </x:c>
      <x:c r="M31" s="73" t="str">
        <x:f>IF(A31="","",L31*(1+IF(J31="Buy Order",Settings!$B$16,0)))</x:f>
      </x:c>
      <x:c r="N31" s="73" t="str">
        <x:f>IF(A31="","",G31*M31)</x:f>
      </x:c>
    </x:row>
    <x:row r="32">
      <x:c r="A32" s="42"/>
      <x:c r="B32" s="42"/>
      <x:c r="C32" s="42"/>
      <x:c r="D32" s="42"/>
      <x:c r="E32" s="42"/>
      <x:c r="F32" s="42"/>
      <x:c r="G32" s="70"/>
      <x:c r="H32" s="42"/>
      <x:c r="I32" s="42"/>
      <x:c r="J32" s="42"/>
      <x:c r="K32" s="72"/>
      <x:c r="L32" s="73" t="str">
        <x:f>IF(A32="","",IF(K32&gt;0,K32,IF(J32="Buy Order",SUMIFS('Market Data'!$F$5:$F$504,'Market Data'!$A$5:$A$504,I32,'Market Data'!$B$5:$B$504,E32,'Market Data'!$D$5:$D$504,1),SUMIFS('Market Data'!$E$5:$E$504,'Market Data'!$A$5:$A$504,I32,'Market Data'!$B$5:$B$504,E32,'Market Data'!$D$5:$D$504,1))))</x:f>
      </x:c>
      <x:c r="M32" s="73" t="str">
        <x:f>IF(A32="","",L32*(1+IF(J32="Buy Order",Settings!$B$16,0)))</x:f>
      </x:c>
      <x:c r="N32" s="73" t="str">
        <x:f>IF(A32="","",G32*M32)</x:f>
      </x:c>
    </x:row>
    <x:row r="33">
      <x:c r="A33" s="42"/>
      <x:c r="B33" s="42"/>
      <x:c r="C33" s="42"/>
      <x:c r="D33" s="42"/>
      <x:c r="E33" s="42"/>
      <x:c r="F33" s="42"/>
      <x:c r="G33" s="70"/>
      <x:c r="H33" s="42"/>
      <x:c r="I33" s="42"/>
      <x:c r="J33" s="42"/>
      <x:c r="K33" s="72"/>
      <x:c r="L33" s="73" t="str">
        <x:f>IF(A33="","",IF(K33&gt;0,K33,IF(J33="Buy Order",SUMIFS('Market Data'!$F$5:$F$504,'Market Data'!$A$5:$A$504,I33,'Market Data'!$B$5:$B$504,E33,'Market Data'!$D$5:$D$504,1),SUMIFS('Market Data'!$E$5:$E$504,'Market Data'!$A$5:$A$504,I33,'Market Data'!$B$5:$B$504,E33,'Market Data'!$D$5:$D$504,1))))</x:f>
      </x:c>
      <x:c r="M33" s="73" t="str">
        <x:f>IF(A33="","",L33*(1+IF(J33="Buy Order",Settings!$B$16,0)))</x:f>
      </x:c>
      <x:c r="N33" s="73" t="str">
        <x:f>IF(A33="","",G33*M33)</x:f>
      </x:c>
    </x:row>
    <x:row r="34">
      <x:c r="A34" s="42"/>
      <x:c r="B34" s="42"/>
      <x:c r="C34" s="42"/>
      <x:c r="D34" s="42"/>
      <x:c r="E34" s="42"/>
      <x:c r="F34" s="42"/>
      <x:c r="G34" s="70"/>
      <x:c r="H34" s="42"/>
      <x:c r="I34" s="42"/>
      <x:c r="J34" s="42"/>
      <x:c r="K34" s="72"/>
      <x:c r="L34" s="73" t="str">
        <x:f>IF(A34="","",IF(K34&gt;0,K34,IF(J34="Buy Order",SUMIFS('Market Data'!$F$5:$F$504,'Market Data'!$A$5:$A$504,I34,'Market Data'!$B$5:$B$504,E34,'Market Data'!$D$5:$D$504,1),SUMIFS('Market Data'!$E$5:$E$504,'Market Data'!$A$5:$A$504,I34,'Market Data'!$B$5:$B$504,E34,'Market Data'!$D$5:$D$504,1))))</x:f>
      </x:c>
      <x:c r="M34" s="73" t="str">
        <x:f>IF(A34="","",L34*(1+IF(J34="Buy Order",Settings!$B$16,0)))</x:f>
      </x:c>
      <x:c r="N34" s="73" t="str">
        <x:f>IF(A34="","",G34*M34)</x:f>
      </x:c>
    </x:row>
    <x:row r="35">
      <x:c r="A35" s="42"/>
      <x:c r="B35" s="42"/>
      <x:c r="C35" s="42"/>
      <x:c r="D35" s="42"/>
      <x:c r="E35" s="42"/>
      <x:c r="F35" s="42"/>
      <x:c r="G35" s="70"/>
      <x:c r="H35" s="42"/>
      <x:c r="I35" s="42"/>
      <x:c r="J35" s="42"/>
      <x:c r="K35" s="72"/>
      <x:c r="L35" s="73" t="str">
        <x:f>IF(A35="","",IF(K35&gt;0,K35,IF(J35="Buy Order",SUMIFS('Market Data'!$F$5:$F$504,'Market Data'!$A$5:$A$504,I35,'Market Data'!$B$5:$B$504,E35,'Market Data'!$D$5:$D$504,1),SUMIFS('Market Data'!$E$5:$E$504,'Market Data'!$A$5:$A$504,I35,'Market Data'!$B$5:$B$504,E35,'Market Data'!$D$5:$D$504,1))))</x:f>
      </x:c>
      <x:c r="M35" s="73" t="str">
        <x:f>IF(A35="","",L35*(1+IF(J35="Buy Order",Settings!$B$16,0)))</x:f>
      </x:c>
      <x:c r="N35" s="73" t="str">
        <x:f>IF(A35="","",G35*M35)</x:f>
      </x:c>
    </x:row>
    <x:row r="36">
      <x:c r="A36" s="42"/>
      <x:c r="B36" s="42"/>
      <x:c r="C36" s="42"/>
      <x:c r="D36" s="42"/>
      <x:c r="E36" s="42"/>
      <x:c r="F36" s="42"/>
      <x:c r="G36" s="70"/>
      <x:c r="H36" s="42"/>
      <x:c r="I36" s="42"/>
      <x:c r="J36" s="42"/>
      <x:c r="K36" s="72"/>
      <x:c r="L36" s="73" t="str">
        <x:f>IF(A36="","",IF(K36&gt;0,K36,IF(J36="Buy Order",SUMIFS('Market Data'!$F$5:$F$504,'Market Data'!$A$5:$A$504,I36,'Market Data'!$B$5:$B$504,E36,'Market Data'!$D$5:$D$504,1),SUMIFS('Market Data'!$E$5:$E$504,'Market Data'!$A$5:$A$504,I36,'Market Data'!$B$5:$B$504,E36,'Market Data'!$D$5:$D$504,1))))</x:f>
      </x:c>
      <x:c r="M36" s="73" t="str">
        <x:f>IF(A36="","",L36*(1+IF(J36="Buy Order",Settings!$B$16,0)))</x:f>
      </x:c>
      <x:c r="N36" s="73" t="str">
        <x:f>IF(A36="","",G36*M36)</x:f>
      </x:c>
    </x:row>
    <x:row r="37">
      <x:c r="A37" s="42"/>
      <x:c r="B37" s="42"/>
      <x:c r="C37" s="42"/>
      <x:c r="D37" s="42"/>
      <x:c r="E37" s="42"/>
      <x:c r="F37" s="42"/>
      <x:c r="G37" s="70"/>
      <x:c r="H37" s="42"/>
      <x:c r="I37" s="42"/>
      <x:c r="J37" s="42"/>
      <x:c r="K37" s="72"/>
      <x:c r="L37" s="73" t="str">
        <x:f>IF(A37="","",IF(K37&gt;0,K37,IF(J37="Buy Order",SUMIFS('Market Data'!$F$5:$F$504,'Market Data'!$A$5:$A$504,I37,'Market Data'!$B$5:$B$504,E37,'Market Data'!$D$5:$D$504,1),SUMIFS('Market Data'!$E$5:$E$504,'Market Data'!$A$5:$A$504,I37,'Market Data'!$B$5:$B$504,E37,'Market Data'!$D$5:$D$504,1))))</x:f>
      </x:c>
      <x:c r="M37" s="73" t="str">
        <x:f>IF(A37="","",L37*(1+IF(J37="Buy Order",Settings!$B$16,0)))</x:f>
      </x:c>
      <x:c r="N37" s="73" t="str">
        <x:f>IF(A37="","",G37*M37)</x:f>
      </x:c>
    </x:row>
    <x:row r="38">
      <x:c r="A38" s="42"/>
      <x:c r="B38" s="42"/>
      <x:c r="C38" s="42"/>
      <x:c r="D38" s="42"/>
      <x:c r="E38" s="42"/>
      <x:c r="F38" s="42"/>
      <x:c r="G38" s="70"/>
      <x:c r="H38" s="42"/>
      <x:c r="I38" s="42"/>
      <x:c r="J38" s="42"/>
      <x:c r="K38" s="72"/>
      <x:c r="L38" s="73" t="str">
        <x:f>IF(A38="","",IF(K38&gt;0,K38,IF(J38="Buy Order",SUMIFS('Market Data'!$F$5:$F$504,'Market Data'!$A$5:$A$504,I38,'Market Data'!$B$5:$B$504,E38,'Market Data'!$D$5:$D$504,1),SUMIFS('Market Data'!$E$5:$E$504,'Market Data'!$A$5:$A$504,I38,'Market Data'!$B$5:$B$504,E38,'Market Data'!$D$5:$D$504,1))))</x:f>
      </x:c>
      <x:c r="M38" s="73" t="str">
        <x:f>IF(A38="","",L38*(1+IF(J38="Buy Order",Settings!$B$16,0)))</x:f>
      </x:c>
      <x:c r="N38" s="73" t="str">
        <x:f>IF(A38="","",G38*M38)</x:f>
      </x:c>
    </x:row>
    <x:row r="39">
      <x:c r="A39" s="42"/>
      <x:c r="B39" s="42"/>
      <x:c r="C39" s="42"/>
      <x:c r="D39" s="42"/>
      <x:c r="E39" s="42"/>
      <x:c r="F39" s="42"/>
      <x:c r="G39" s="70"/>
      <x:c r="H39" s="42"/>
      <x:c r="I39" s="42"/>
      <x:c r="J39" s="42"/>
      <x:c r="K39" s="72"/>
      <x:c r="L39" s="73" t="str">
        <x:f>IF(A39="","",IF(K39&gt;0,K39,IF(J39="Buy Order",SUMIFS('Market Data'!$F$5:$F$504,'Market Data'!$A$5:$A$504,I39,'Market Data'!$B$5:$B$504,E39,'Market Data'!$D$5:$D$504,1),SUMIFS('Market Data'!$E$5:$E$504,'Market Data'!$A$5:$A$504,I39,'Market Data'!$B$5:$B$504,E39,'Market Data'!$D$5:$D$504,1))))</x:f>
      </x:c>
      <x:c r="M39" s="73" t="str">
        <x:f>IF(A39="","",L39*(1+IF(J39="Buy Order",Settings!$B$16,0)))</x:f>
      </x:c>
      <x:c r="N39" s="73" t="str">
        <x:f>IF(A39="","",G39*M39)</x:f>
      </x:c>
    </x:row>
    <x:row r="40">
      <x:c r="A40" s="42"/>
      <x:c r="B40" s="42"/>
      <x:c r="C40" s="42"/>
      <x:c r="D40" s="42"/>
      <x:c r="E40" s="42"/>
      <x:c r="F40" s="42"/>
      <x:c r="G40" s="70"/>
      <x:c r="H40" s="42"/>
      <x:c r="I40" s="42"/>
      <x:c r="J40" s="42"/>
      <x:c r="K40" s="72"/>
      <x:c r="L40" s="73" t="str">
        <x:f>IF(A40="","",IF(K40&gt;0,K40,IF(J40="Buy Order",SUMIFS('Market Data'!$F$5:$F$504,'Market Data'!$A$5:$A$504,I40,'Market Data'!$B$5:$B$504,E40,'Market Data'!$D$5:$D$504,1),SUMIFS('Market Data'!$E$5:$E$504,'Market Data'!$A$5:$A$504,I40,'Market Data'!$B$5:$B$504,E40,'Market Data'!$D$5:$D$504,1))))</x:f>
      </x:c>
      <x:c r="M40" s="73" t="str">
        <x:f>IF(A40="","",L40*(1+IF(J40="Buy Order",Settings!$B$16,0)))</x:f>
      </x:c>
      <x:c r="N40" s="73" t="str">
        <x:f>IF(A40="","",G40*M40)</x:f>
      </x:c>
    </x:row>
    <x:row r="41">
      <x:c r="A41" s="42"/>
      <x:c r="B41" s="42"/>
      <x:c r="C41" s="42"/>
      <x:c r="D41" s="42"/>
      <x:c r="E41" s="42"/>
      <x:c r="F41" s="42"/>
      <x:c r="G41" s="70"/>
      <x:c r="H41" s="42"/>
      <x:c r="I41" s="42"/>
      <x:c r="J41" s="42"/>
      <x:c r="K41" s="72"/>
      <x:c r="L41" s="73" t="str">
        <x:f>IF(A41="","",IF(K41&gt;0,K41,IF(J41="Buy Order",SUMIFS('Market Data'!$F$5:$F$504,'Market Data'!$A$5:$A$504,I41,'Market Data'!$B$5:$B$504,E41,'Market Data'!$D$5:$D$504,1),SUMIFS('Market Data'!$E$5:$E$504,'Market Data'!$A$5:$A$504,I41,'Market Data'!$B$5:$B$504,E41,'Market Data'!$D$5:$D$504,1))))</x:f>
      </x:c>
      <x:c r="M41" s="73" t="str">
        <x:f>IF(A41="","",L41*(1+IF(J41="Buy Order",Settings!$B$16,0)))</x:f>
      </x:c>
      <x:c r="N41" s="73" t="str">
        <x:f>IF(A41="","",G41*M41)</x:f>
      </x:c>
    </x:row>
    <x:row r="42">
      <x:c r="A42" s="42"/>
      <x:c r="B42" s="42"/>
      <x:c r="C42" s="42"/>
      <x:c r="D42" s="42"/>
      <x:c r="E42" s="42"/>
      <x:c r="F42" s="42"/>
      <x:c r="G42" s="70"/>
      <x:c r="H42" s="42"/>
      <x:c r="I42" s="42"/>
      <x:c r="J42" s="42"/>
      <x:c r="K42" s="72"/>
      <x:c r="L42" s="73" t="str">
        <x:f>IF(A42="","",IF(K42&gt;0,K42,IF(J42="Buy Order",SUMIFS('Market Data'!$F$5:$F$504,'Market Data'!$A$5:$A$504,I42,'Market Data'!$B$5:$B$504,E42,'Market Data'!$D$5:$D$504,1),SUMIFS('Market Data'!$E$5:$E$504,'Market Data'!$A$5:$A$504,I42,'Market Data'!$B$5:$B$504,E42,'Market Data'!$D$5:$D$504,1))))</x:f>
      </x:c>
      <x:c r="M42" s="73" t="str">
        <x:f>IF(A42="","",L42*(1+IF(J42="Buy Order",Settings!$B$16,0)))</x:f>
      </x:c>
      <x:c r="N42" s="73" t="str">
        <x:f>IF(A42="","",G42*M42)</x:f>
      </x:c>
    </x:row>
    <x:row r="43">
      <x:c r="A43" s="42"/>
      <x:c r="B43" s="42"/>
      <x:c r="C43" s="42"/>
      <x:c r="D43" s="42"/>
      <x:c r="E43" s="42"/>
      <x:c r="F43" s="42"/>
      <x:c r="G43" s="70"/>
      <x:c r="H43" s="42"/>
      <x:c r="I43" s="42"/>
      <x:c r="J43" s="42"/>
      <x:c r="K43" s="72"/>
      <x:c r="L43" s="73" t="str">
        <x:f>IF(A43="","",IF(K43&gt;0,K43,IF(J43="Buy Order",SUMIFS('Market Data'!$F$5:$F$504,'Market Data'!$A$5:$A$504,I43,'Market Data'!$B$5:$B$504,E43,'Market Data'!$D$5:$D$504,1),SUMIFS('Market Data'!$E$5:$E$504,'Market Data'!$A$5:$A$504,I43,'Market Data'!$B$5:$B$504,E43,'Market Data'!$D$5:$D$504,1))))</x:f>
      </x:c>
      <x:c r="M43" s="73" t="str">
        <x:f>IF(A43="","",L43*(1+IF(J43="Buy Order",Settings!$B$16,0)))</x:f>
      </x:c>
      <x:c r="N43" s="73" t="str">
        <x:f>IF(A43="","",G43*M43)</x:f>
      </x:c>
    </x:row>
    <x:row r="44">
      <x:c r="A44" s="42"/>
      <x:c r="B44" s="42"/>
      <x:c r="C44" s="42"/>
      <x:c r="D44" s="42"/>
      <x:c r="E44" s="42"/>
      <x:c r="F44" s="42"/>
      <x:c r="G44" s="70"/>
      <x:c r="H44" s="42"/>
      <x:c r="I44" s="42"/>
      <x:c r="J44" s="42"/>
      <x:c r="K44" s="72"/>
      <x:c r="L44" s="73" t="str">
        <x:f>IF(A44="","",IF(K44&gt;0,K44,IF(J44="Buy Order",SUMIFS('Market Data'!$F$5:$F$504,'Market Data'!$A$5:$A$504,I44,'Market Data'!$B$5:$B$504,E44,'Market Data'!$D$5:$D$504,1),SUMIFS('Market Data'!$E$5:$E$504,'Market Data'!$A$5:$A$504,I44,'Market Data'!$B$5:$B$504,E44,'Market Data'!$D$5:$D$504,1))))</x:f>
      </x:c>
      <x:c r="M44" s="73" t="str">
        <x:f>IF(A44="","",L44*(1+IF(J44="Buy Order",Settings!$B$16,0)))</x:f>
      </x:c>
      <x:c r="N44" s="73" t="str">
        <x:f>IF(A44="","",G44*M44)</x:f>
      </x:c>
    </x:row>
    <x:row r="45">
      <x:c r="A45" s="42"/>
      <x:c r="B45" s="42"/>
      <x:c r="C45" s="42"/>
      <x:c r="D45" s="42"/>
      <x:c r="E45" s="42"/>
      <x:c r="F45" s="42"/>
      <x:c r="G45" s="70"/>
      <x:c r="H45" s="42"/>
      <x:c r="I45" s="42"/>
      <x:c r="J45" s="42"/>
      <x:c r="K45" s="72"/>
      <x:c r="L45" s="73" t="str">
        <x:f>IF(A45="","",IF(K45&gt;0,K45,IF(J45="Buy Order",SUMIFS('Market Data'!$F$5:$F$504,'Market Data'!$A$5:$A$504,I45,'Market Data'!$B$5:$B$504,E45,'Market Data'!$D$5:$D$504,1),SUMIFS('Market Data'!$E$5:$E$504,'Market Data'!$A$5:$A$504,I45,'Market Data'!$B$5:$B$504,E45,'Market Data'!$D$5:$D$504,1))))</x:f>
      </x:c>
      <x:c r="M45" s="73" t="str">
        <x:f>IF(A45="","",L45*(1+IF(J45="Buy Order",Settings!$B$16,0)))</x:f>
      </x:c>
      <x:c r="N45" s="73" t="str">
        <x:f>IF(A45="","",G45*M45)</x:f>
      </x:c>
    </x:row>
    <x:row r="46">
      <x:c r="A46" s="42"/>
      <x:c r="B46" s="42"/>
      <x:c r="C46" s="42"/>
      <x:c r="D46" s="42"/>
      <x:c r="E46" s="42"/>
      <x:c r="F46" s="42"/>
      <x:c r="G46" s="70"/>
      <x:c r="H46" s="42"/>
      <x:c r="I46" s="42"/>
      <x:c r="J46" s="42"/>
      <x:c r="K46" s="72"/>
      <x:c r="L46" s="73" t="str">
        <x:f>IF(A46="","",IF(K46&gt;0,K46,IF(J46="Buy Order",SUMIFS('Market Data'!$F$5:$F$504,'Market Data'!$A$5:$A$504,I46,'Market Data'!$B$5:$B$504,E46,'Market Data'!$D$5:$D$504,1),SUMIFS('Market Data'!$E$5:$E$504,'Market Data'!$A$5:$A$504,I46,'Market Data'!$B$5:$B$504,E46,'Market Data'!$D$5:$D$504,1))))</x:f>
      </x:c>
      <x:c r="M46" s="73" t="str">
        <x:f>IF(A46="","",L46*(1+IF(J46="Buy Order",Settings!$B$16,0)))</x:f>
      </x:c>
      <x:c r="N46" s="73" t="str">
        <x:f>IF(A46="","",G46*M46)</x:f>
      </x:c>
    </x:row>
    <x:row r="47">
      <x:c r="A47" s="42"/>
      <x:c r="B47" s="42"/>
      <x:c r="C47" s="42"/>
      <x:c r="D47" s="42"/>
      <x:c r="E47" s="42"/>
      <x:c r="F47" s="42"/>
      <x:c r="G47" s="70"/>
      <x:c r="H47" s="42"/>
      <x:c r="I47" s="42"/>
      <x:c r="J47" s="42"/>
      <x:c r="K47" s="72"/>
      <x:c r="L47" s="73" t="str">
        <x:f>IF(A47="","",IF(K47&gt;0,K47,IF(J47="Buy Order",SUMIFS('Market Data'!$F$5:$F$504,'Market Data'!$A$5:$A$504,I47,'Market Data'!$B$5:$B$504,E47,'Market Data'!$D$5:$D$504,1),SUMIFS('Market Data'!$E$5:$E$504,'Market Data'!$A$5:$A$504,I47,'Market Data'!$B$5:$B$504,E47,'Market Data'!$D$5:$D$504,1))))</x:f>
      </x:c>
      <x:c r="M47" s="73" t="str">
        <x:f>IF(A47="","",L47*(1+IF(J47="Buy Order",Settings!$B$16,0)))</x:f>
      </x:c>
      <x:c r="N47" s="73" t="str">
        <x:f>IF(A47="","",G47*M47)</x:f>
      </x:c>
    </x:row>
    <x:row r="48">
      <x:c r="A48" s="42"/>
      <x:c r="B48" s="42"/>
      <x:c r="C48" s="42"/>
      <x:c r="D48" s="42"/>
      <x:c r="E48" s="42"/>
      <x:c r="F48" s="42"/>
      <x:c r="G48" s="70"/>
      <x:c r="H48" s="42"/>
      <x:c r="I48" s="42"/>
      <x:c r="J48" s="42"/>
      <x:c r="K48" s="72"/>
      <x:c r="L48" s="73" t="str">
        <x:f>IF(A48="","",IF(K48&gt;0,K48,IF(J48="Buy Order",SUMIFS('Market Data'!$F$5:$F$504,'Market Data'!$A$5:$A$504,I48,'Market Data'!$B$5:$B$504,E48,'Market Data'!$D$5:$D$504,1),SUMIFS('Market Data'!$E$5:$E$504,'Market Data'!$A$5:$A$504,I48,'Market Data'!$B$5:$B$504,E48,'Market Data'!$D$5:$D$504,1))))</x:f>
      </x:c>
      <x:c r="M48" s="73" t="str">
        <x:f>IF(A48="","",L48*(1+IF(J48="Buy Order",Settings!$B$16,0)))</x:f>
      </x:c>
      <x:c r="N48" s="73" t="str">
        <x:f>IF(A48="","",G48*M48)</x:f>
      </x:c>
    </x:row>
    <x:row r="49">
      <x:c r="A49" s="42"/>
      <x:c r="B49" s="42"/>
      <x:c r="C49" s="42"/>
      <x:c r="D49" s="42"/>
      <x:c r="E49" s="42"/>
      <x:c r="F49" s="42"/>
      <x:c r="G49" s="70"/>
      <x:c r="H49" s="42"/>
      <x:c r="I49" s="42"/>
      <x:c r="J49" s="42"/>
      <x:c r="K49" s="72"/>
      <x:c r="L49" s="73" t="str">
        <x:f>IF(A49="","",IF(K49&gt;0,K49,IF(J49="Buy Order",SUMIFS('Market Data'!$F$5:$F$504,'Market Data'!$A$5:$A$504,I49,'Market Data'!$B$5:$B$504,E49,'Market Data'!$D$5:$D$504,1),SUMIFS('Market Data'!$E$5:$E$504,'Market Data'!$A$5:$A$504,I49,'Market Data'!$B$5:$B$504,E49,'Market Data'!$D$5:$D$504,1))))</x:f>
      </x:c>
      <x:c r="M49" s="73" t="str">
        <x:f>IF(A49="","",L49*(1+IF(J49="Buy Order",Settings!$B$16,0)))</x:f>
      </x:c>
      <x:c r="N49" s="73" t="str">
        <x:f>IF(A49="","",G49*M49)</x:f>
      </x:c>
    </x:row>
    <x:row r="50">
      <x:c r="A50" s="42"/>
      <x:c r="B50" s="42"/>
      <x:c r="C50" s="42"/>
      <x:c r="D50" s="42"/>
      <x:c r="E50" s="42"/>
      <x:c r="F50" s="42"/>
      <x:c r="G50" s="70"/>
      <x:c r="H50" s="42"/>
      <x:c r="I50" s="42"/>
      <x:c r="J50" s="42"/>
      <x:c r="K50" s="72"/>
      <x:c r="L50" s="73" t="str">
        <x:f>IF(A50="","",IF(K50&gt;0,K50,IF(J50="Buy Order",SUMIFS('Market Data'!$F$5:$F$504,'Market Data'!$A$5:$A$504,I50,'Market Data'!$B$5:$B$504,E50,'Market Data'!$D$5:$D$504,1),SUMIFS('Market Data'!$E$5:$E$504,'Market Data'!$A$5:$A$504,I50,'Market Data'!$B$5:$B$504,E50,'Market Data'!$D$5:$D$504,1))))</x:f>
      </x:c>
      <x:c r="M50" s="73" t="str">
        <x:f>IF(A50="","",L50*(1+IF(J50="Buy Order",Settings!$B$16,0)))</x:f>
      </x:c>
      <x:c r="N50" s="73" t="str">
        <x:f>IF(A50="","",G50*M50)</x:f>
      </x:c>
    </x:row>
    <x:row r="51">
      <x:c r="A51" s="42"/>
      <x:c r="B51" s="42"/>
      <x:c r="C51" s="42"/>
      <x:c r="D51" s="42"/>
      <x:c r="E51" s="42"/>
      <x:c r="F51" s="42"/>
      <x:c r="G51" s="70"/>
      <x:c r="H51" s="42"/>
      <x:c r="I51" s="42"/>
      <x:c r="J51" s="42"/>
      <x:c r="K51" s="72"/>
      <x:c r="L51" s="73" t="str">
        <x:f>IF(A51="","",IF(K51&gt;0,K51,IF(J51="Buy Order",SUMIFS('Market Data'!$F$5:$F$504,'Market Data'!$A$5:$A$504,I51,'Market Data'!$B$5:$B$504,E51,'Market Data'!$D$5:$D$504,1),SUMIFS('Market Data'!$E$5:$E$504,'Market Data'!$A$5:$A$504,I51,'Market Data'!$B$5:$B$504,E51,'Market Data'!$D$5:$D$504,1))))</x:f>
      </x:c>
      <x:c r="M51" s="73" t="str">
        <x:f>IF(A51="","",L51*(1+IF(J51="Buy Order",Settings!$B$16,0)))</x:f>
      </x:c>
      <x:c r="N51" s="73" t="str">
        <x:f>IF(A51="","",G51*M51)</x:f>
      </x:c>
    </x:row>
    <x:row r="52">
      <x:c r="A52" s="42"/>
      <x:c r="B52" s="42"/>
      <x:c r="C52" s="42"/>
      <x:c r="D52" s="42"/>
      <x:c r="E52" s="42"/>
      <x:c r="F52" s="42"/>
      <x:c r="G52" s="70"/>
      <x:c r="H52" s="42"/>
      <x:c r="I52" s="42"/>
      <x:c r="J52" s="42"/>
      <x:c r="K52" s="72"/>
      <x:c r="L52" s="73" t="str">
        <x:f>IF(A52="","",IF(K52&gt;0,K52,IF(J52="Buy Order",SUMIFS('Market Data'!$F$5:$F$504,'Market Data'!$A$5:$A$504,I52,'Market Data'!$B$5:$B$504,E52,'Market Data'!$D$5:$D$504,1),SUMIFS('Market Data'!$E$5:$E$504,'Market Data'!$A$5:$A$504,I52,'Market Data'!$B$5:$B$504,E52,'Market Data'!$D$5:$D$504,1))))</x:f>
      </x:c>
      <x:c r="M52" s="73" t="str">
        <x:f>IF(A52="","",L52*(1+IF(J52="Buy Order",Settings!$B$16,0)))</x:f>
      </x:c>
      <x:c r="N52" s="73" t="str">
        <x:f>IF(A52="","",G52*M52)</x:f>
      </x:c>
    </x:row>
    <x:row r="53">
      <x:c r="A53" s="42"/>
      <x:c r="B53" s="42"/>
      <x:c r="C53" s="42"/>
      <x:c r="D53" s="42"/>
      <x:c r="E53" s="42"/>
      <x:c r="F53" s="42"/>
      <x:c r="G53" s="70"/>
      <x:c r="H53" s="42"/>
      <x:c r="I53" s="42"/>
      <x:c r="J53" s="42"/>
      <x:c r="K53" s="72"/>
      <x:c r="L53" s="73" t="str">
        <x:f>IF(A53="","",IF(K53&gt;0,K53,IF(J53="Buy Order",SUMIFS('Market Data'!$F$5:$F$504,'Market Data'!$A$5:$A$504,I53,'Market Data'!$B$5:$B$504,E53,'Market Data'!$D$5:$D$504,1),SUMIFS('Market Data'!$E$5:$E$504,'Market Data'!$A$5:$A$504,I53,'Market Data'!$B$5:$B$504,E53,'Market Data'!$D$5:$D$504,1))))</x:f>
      </x:c>
      <x:c r="M53" s="73" t="str">
        <x:f>IF(A53="","",L53*(1+IF(J53="Buy Order",Settings!$B$16,0)))</x:f>
      </x:c>
      <x:c r="N53" s="73" t="str">
        <x:f>IF(A53="","",G53*M53)</x:f>
      </x:c>
    </x:row>
    <x:row r="54">
      <x:c r="A54" s="42"/>
      <x:c r="B54" s="42"/>
      <x:c r="C54" s="42"/>
      <x:c r="D54" s="42"/>
      <x:c r="E54" s="42"/>
      <x:c r="F54" s="42"/>
      <x:c r="G54" s="70"/>
      <x:c r="H54" s="42"/>
      <x:c r="I54" s="42"/>
      <x:c r="J54" s="42"/>
      <x:c r="K54" s="72"/>
      <x:c r="L54" s="73" t="str">
        <x:f>IF(A54="","",IF(K54&gt;0,K54,IF(J54="Buy Order",SUMIFS('Market Data'!$F$5:$F$504,'Market Data'!$A$5:$A$504,I54,'Market Data'!$B$5:$B$504,E54,'Market Data'!$D$5:$D$504,1),SUMIFS('Market Data'!$E$5:$E$504,'Market Data'!$A$5:$A$504,I54,'Market Data'!$B$5:$B$504,E54,'Market Data'!$D$5:$D$504,1))))</x:f>
      </x:c>
      <x:c r="M54" s="73" t="str">
        <x:f>IF(A54="","",L54*(1+IF(J54="Buy Order",Settings!$B$16,0)))</x:f>
      </x:c>
      <x:c r="N54" s="73" t="str">
        <x:f>IF(A54="","",G54*M54)</x:f>
      </x:c>
    </x:row>
    <x:row r="55">
      <x:c r="A55" s="42"/>
      <x:c r="B55" s="42"/>
      <x:c r="C55" s="42"/>
      <x:c r="D55" s="42"/>
      <x:c r="E55" s="42"/>
      <x:c r="F55" s="42"/>
      <x:c r="G55" s="70"/>
      <x:c r="H55" s="42"/>
      <x:c r="I55" s="42"/>
      <x:c r="J55" s="42"/>
      <x:c r="K55" s="72"/>
      <x:c r="L55" s="73" t="str">
        <x:f>IF(A55="","",IF(K55&gt;0,K55,IF(J55="Buy Order",SUMIFS('Market Data'!$F$5:$F$504,'Market Data'!$A$5:$A$504,I55,'Market Data'!$B$5:$B$504,E55,'Market Data'!$D$5:$D$504,1),SUMIFS('Market Data'!$E$5:$E$504,'Market Data'!$A$5:$A$504,I55,'Market Data'!$B$5:$B$504,E55,'Market Data'!$D$5:$D$504,1))))</x:f>
      </x:c>
      <x:c r="M55" s="73" t="str">
        <x:f>IF(A55="","",L55*(1+IF(J55="Buy Order",Settings!$B$16,0)))</x:f>
      </x:c>
      <x:c r="N55" s="73" t="str">
        <x:f>IF(A55="","",G55*M55)</x:f>
      </x:c>
    </x:row>
    <x:row r="56">
      <x:c r="A56" s="42"/>
      <x:c r="B56" s="42"/>
      <x:c r="C56" s="42"/>
      <x:c r="D56" s="42"/>
      <x:c r="E56" s="42"/>
      <x:c r="F56" s="42"/>
      <x:c r="G56" s="70"/>
      <x:c r="H56" s="42"/>
      <x:c r="I56" s="42"/>
      <x:c r="J56" s="42"/>
      <x:c r="K56" s="72"/>
      <x:c r="L56" s="73" t="str">
        <x:f>IF(A56="","",IF(K56&gt;0,K56,IF(J56="Buy Order",SUMIFS('Market Data'!$F$5:$F$504,'Market Data'!$A$5:$A$504,I56,'Market Data'!$B$5:$B$504,E56,'Market Data'!$D$5:$D$504,1),SUMIFS('Market Data'!$E$5:$E$504,'Market Data'!$A$5:$A$504,I56,'Market Data'!$B$5:$B$504,E56,'Market Data'!$D$5:$D$504,1))))</x:f>
      </x:c>
      <x:c r="M56" s="73" t="str">
        <x:f>IF(A56="","",L56*(1+IF(J56="Buy Order",Settings!$B$16,0)))</x:f>
      </x:c>
      <x:c r="N56" s="73" t="str">
        <x:f>IF(A56="","",G56*M56)</x:f>
      </x:c>
    </x:row>
    <x:row r="57">
      <x:c r="A57" s="42"/>
      <x:c r="B57" s="42"/>
      <x:c r="C57" s="42"/>
      <x:c r="D57" s="42"/>
      <x:c r="E57" s="42"/>
      <x:c r="F57" s="42"/>
      <x:c r="G57" s="70"/>
      <x:c r="H57" s="42"/>
      <x:c r="I57" s="42"/>
      <x:c r="J57" s="42"/>
      <x:c r="K57" s="72"/>
      <x:c r="L57" s="73" t="str">
        <x:f>IF(A57="","",IF(K57&gt;0,K57,IF(J57="Buy Order",SUMIFS('Market Data'!$F$5:$F$504,'Market Data'!$A$5:$A$504,I57,'Market Data'!$B$5:$B$504,E57,'Market Data'!$D$5:$D$504,1),SUMIFS('Market Data'!$E$5:$E$504,'Market Data'!$A$5:$A$504,I57,'Market Data'!$B$5:$B$504,E57,'Market Data'!$D$5:$D$504,1))))</x:f>
      </x:c>
      <x:c r="M57" s="73" t="str">
        <x:f>IF(A57="","",L57*(1+IF(J57="Buy Order",Settings!$B$16,0)))</x:f>
      </x:c>
      <x:c r="N57" s="73" t="str">
        <x:f>IF(A57="","",G57*M57)</x:f>
      </x:c>
    </x:row>
    <x:row r="58">
      <x:c r="A58" s="42"/>
      <x:c r="B58" s="42"/>
      <x:c r="C58" s="42"/>
      <x:c r="D58" s="42"/>
      <x:c r="E58" s="42"/>
      <x:c r="F58" s="42"/>
      <x:c r="G58" s="70"/>
      <x:c r="H58" s="42"/>
      <x:c r="I58" s="42"/>
      <x:c r="J58" s="42"/>
      <x:c r="K58" s="72"/>
      <x:c r="L58" s="73" t="str">
        <x:f>IF(A58="","",IF(K58&gt;0,K58,IF(J58="Buy Order",SUMIFS('Market Data'!$F$5:$F$504,'Market Data'!$A$5:$A$504,I58,'Market Data'!$B$5:$B$504,E58,'Market Data'!$D$5:$D$504,1),SUMIFS('Market Data'!$E$5:$E$504,'Market Data'!$A$5:$A$504,I58,'Market Data'!$B$5:$B$504,E58,'Market Data'!$D$5:$D$504,1))))</x:f>
      </x:c>
      <x:c r="M58" s="73" t="str">
        <x:f>IF(A58="","",L58*(1+IF(J58="Buy Order",Settings!$B$16,0)))</x:f>
      </x:c>
      <x:c r="N58" s="73" t="str">
        <x:f>IF(A58="","",G58*M58)</x:f>
      </x:c>
    </x:row>
    <x:row r="59">
      <x:c r="A59" s="42"/>
      <x:c r="B59" s="42"/>
      <x:c r="C59" s="42"/>
      <x:c r="D59" s="42"/>
      <x:c r="E59" s="42"/>
      <x:c r="F59" s="42"/>
      <x:c r="G59" s="70"/>
      <x:c r="H59" s="42"/>
      <x:c r="I59" s="42"/>
      <x:c r="J59" s="42"/>
      <x:c r="K59" s="72"/>
      <x:c r="L59" s="73" t="str">
        <x:f>IF(A59="","",IF(K59&gt;0,K59,IF(J59="Buy Order",SUMIFS('Market Data'!$F$5:$F$504,'Market Data'!$A$5:$A$504,I59,'Market Data'!$B$5:$B$504,E59,'Market Data'!$D$5:$D$504,1),SUMIFS('Market Data'!$E$5:$E$504,'Market Data'!$A$5:$A$504,I59,'Market Data'!$B$5:$B$504,E59,'Market Data'!$D$5:$D$504,1))))</x:f>
      </x:c>
      <x:c r="M59" s="73" t="str">
        <x:f>IF(A59="","",L59*(1+IF(J59="Buy Order",Settings!$B$16,0)))</x:f>
      </x:c>
      <x:c r="N59" s="73" t="str">
        <x:f>IF(A59="","",G59*M59)</x:f>
      </x:c>
    </x:row>
    <x:row r="60">
      <x:c r="A60" s="42"/>
      <x:c r="B60" s="42"/>
      <x:c r="C60" s="42"/>
      <x:c r="D60" s="42"/>
      <x:c r="E60" s="42"/>
      <x:c r="F60" s="42"/>
      <x:c r="G60" s="70"/>
      <x:c r="H60" s="42"/>
      <x:c r="I60" s="42"/>
      <x:c r="J60" s="42"/>
      <x:c r="K60" s="72"/>
      <x:c r="L60" s="73" t="str">
        <x:f>IF(A60="","",IF(K60&gt;0,K60,IF(J60="Buy Order",SUMIFS('Market Data'!$F$5:$F$504,'Market Data'!$A$5:$A$504,I60,'Market Data'!$B$5:$B$504,E60,'Market Data'!$D$5:$D$504,1),SUMIFS('Market Data'!$E$5:$E$504,'Market Data'!$A$5:$A$504,I60,'Market Data'!$B$5:$B$504,E60,'Market Data'!$D$5:$D$504,1))))</x:f>
      </x:c>
      <x:c r="M60" s="73" t="str">
        <x:f>IF(A60="","",L60*(1+IF(J60="Buy Order",Settings!$B$16,0)))</x:f>
      </x:c>
      <x:c r="N60" s="73" t="str">
        <x:f>IF(A60="","",G60*M60)</x:f>
      </x:c>
    </x:row>
    <x:row r="61">
      <x:c r="A61" s="42"/>
      <x:c r="B61" s="42"/>
      <x:c r="C61" s="42"/>
      <x:c r="D61" s="42"/>
      <x:c r="E61" s="42"/>
      <x:c r="F61" s="42"/>
      <x:c r="G61" s="70"/>
      <x:c r="H61" s="42"/>
      <x:c r="I61" s="42"/>
      <x:c r="J61" s="42"/>
      <x:c r="K61" s="72"/>
      <x:c r="L61" s="73" t="str">
        <x:f>IF(A61="","",IF(K61&gt;0,K61,IF(J61="Buy Order",SUMIFS('Market Data'!$F$5:$F$504,'Market Data'!$A$5:$A$504,I61,'Market Data'!$B$5:$B$504,E61,'Market Data'!$D$5:$D$504,1),SUMIFS('Market Data'!$E$5:$E$504,'Market Data'!$A$5:$A$504,I61,'Market Data'!$B$5:$B$504,E61,'Market Data'!$D$5:$D$504,1))))</x:f>
      </x:c>
      <x:c r="M61" s="73" t="str">
        <x:f>IF(A61="","",L61*(1+IF(J61="Buy Order",Settings!$B$16,0)))</x:f>
      </x:c>
      <x:c r="N61" s="73" t="str">
        <x:f>IF(A61="","",G61*M61)</x:f>
      </x:c>
    </x:row>
    <x:row r="62">
      <x:c r="A62" s="42"/>
      <x:c r="B62" s="42"/>
      <x:c r="C62" s="42"/>
      <x:c r="D62" s="42"/>
      <x:c r="E62" s="42"/>
      <x:c r="F62" s="42"/>
      <x:c r="G62" s="70"/>
      <x:c r="H62" s="42"/>
      <x:c r="I62" s="42"/>
      <x:c r="J62" s="42"/>
      <x:c r="K62" s="72"/>
      <x:c r="L62" s="73" t="str">
        <x:f>IF(A62="","",IF(K62&gt;0,K62,IF(J62="Buy Order",SUMIFS('Market Data'!$F$5:$F$504,'Market Data'!$A$5:$A$504,I62,'Market Data'!$B$5:$B$504,E62,'Market Data'!$D$5:$D$504,1),SUMIFS('Market Data'!$E$5:$E$504,'Market Data'!$A$5:$A$504,I62,'Market Data'!$B$5:$B$504,E62,'Market Data'!$D$5:$D$504,1))))</x:f>
      </x:c>
      <x:c r="M62" s="73" t="str">
        <x:f>IF(A62="","",L62*(1+IF(J62="Buy Order",Settings!$B$16,0)))</x:f>
      </x:c>
      <x:c r="N62" s="73" t="str">
        <x:f>IF(A62="","",G62*M62)</x:f>
      </x:c>
    </x:row>
    <x:row r="63">
      <x:c r="A63" s="42"/>
      <x:c r="B63" s="42"/>
      <x:c r="C63" s="42"/>
      <x:c r="D63" s="42"/>
      <x:c r="E63" s="42"/>
      <x:c r="F63" s="42"/>
      <x:c r="G63" s="70"/>
      <x:c r="H63" s="42"/>
      <x:c r="I63" s="42"/>
      <x:c r="J63" s="42"/>
      <x:c r="K63" s="72"/>
      <x:c r="L63" s="73" t="str">
        <x:f>IF(A63="","",IF(K63&gt;0,K63,IF(J63="Buy Order",SUMIFS('Market Data'!$F$5:$F$504,'Market Data'!$A$5:$A$504,I63,'Market Data'!$B$5:$B$504,E63,'Market Data'!$D$5:$D$504,1),SUMIFS('Market Data'!$E$5:$E$504,'Market Data'!$A$5:$A$504,I63,'Market Data'!$B$5:$B$504,E63,'Market Data'!$D$5:$D$504,1))))</x:f>
      </x:c>
      <x:c r="M63" s="73" t="str">
        <x:f>IF(A63="","",L63*(1+IF(J63="Buy Order",Settings!$B$16,0)))</x:f>
      </x:c>
      <x:c r="N63" s="73" t="str">
        <x:f>IF(A63="","",G63*M63)</x:f>
      </x:c>
    </x:row>
    <x:row r="64">
      <x:c r="A64" s="42"/>
      <x:c r="B64" s="42"/>
      <x:c r="C64" s="42"/>
      <x:c r="D64" s="42"/>
      <x:c r="E64" s="42"/>
      <x:c r="F64" s="42"/>
      <x:c r="G64" s="70"/>
      <x:c r="H64" s="42"/>
      <x:c r="I64" s="42"/>
      <x:c r="J64" s="42"/>
      <x:c r="K64" s="72"/>
      <x:c r="L64" s="73" t="str">
        <x:f>IF(A64="","",IF(K64&gt;0,K64,IF(J64="Buy Order",SUMIFS('Market Data'!$F$5:$F$504,'Market Data'!$A$5:$A$504,I64,'Market Data'!$B$5:$B$504,E64,'Market Data'!$D$5:$D$504,1),SUMIFS('Market Data'!$E$5:$E$504,'Market Data'!$A$5:$A$504,I64,'Market Data'!$B$5:$B$504,E64,'Market Data'!$D$5:$D$504,1))))</x:f>
      </x:c>
      <x:c r="M64" s="73" t="str">
        <x:f>IF(A64="","",L64*(1+IF(J64="Buy Order",Settings!$B$16,0)))</x:f>
      </x:c>
      <x:c r="N64" s="73" t="str">
        <x:f>IF(A64="","",G64*M64)</x:f>
      </x:c>
    </x:row>
    <x:row r="65">
      <x:c r="A65" s="42"/>
      <x:c r="B65" s="42"/>
      <x:c r="C65" s="42"/>
      <x:c r="D65" s="42"/>
      <x:c r="E65" s="42"/>
      <x:c r="F65" s="42"/>
      <x:c r="G65" s="70"/>
      <x:c r="H65" s="42"/>
      <x:c r="I65" s="42"/>
      <x:c r="J65" s="42"/>
      <x:c r="K65" s="72"/>
      <x:c r="L65" s="73" t="str">
        <x:f>IF(A65="","",IF(K65&gt;0,K65,IF(J65="Buy Order",SUMIFS('Market Data'!$F$5:$F$504,'Market Data'!$A$5:$A$504,I65,'Market Data'!$B$5:$B$504,E65,'Market Data'!$D$5:$D$504,1),SUMIFS('Market Data'!$E$5:$E$504,'Market Data'!$A$5:$A$504,I65,'Market Data'!$B$5:$B$504,E65,'Market Data'!$D$5:$D$504,1))))</x:f>
      </x:c>
      <x:c r="M65" s="73" t="str">
        <x:f>IF(A65="","",L65*(1+IF(J65="Buy Order",Settings!$B$16,0)))</x:f>
      </x:c>
      <x:c r="N65" s="73" t="str">
        <x:f>IF(A65="","",G65*M65)</x:f>
      </x:c>
    </x:row>
    <x:row r="66">
      <x:c r="A66" s="42"/>
      <x:c r="B66" s="42"/>
      <x:c r="C66" s="42"/>
      <x:c r="D66" s="42"/>
      <x:c r="E66" s="42"/>
      <x:c r="F66" s="42"/>
      <x:c r="G66" s="70"/>
      <x:c r="H66" s="42"/>
      <x:c r="I66" s="42"/>
      <x:c r="J66" s="42"/>
      <x:c r="K66" s="72"/>
      <x:c r="L66" s="73" t="str">
        <x:f>IF(A66="","",IF(K66&gt;0,K66,IF(J66="Buy Order",SUMIFS('Market Data'!$F$5:$F$504,'Market Data'!$A$5:$A$504,I66,'Market Data'!$B$5:$B$504,E66,'Market Data'!$D$5:$D$504,1),SUMIFS('Market Data'!$E$5:$E$504,'Market Data'!$A$5:$A$504,I66,'Market Data'!$B$5:$B$504,E66,'Market Data'!$D$5:$D$504,1))))</x:f>
      </x:c>
      <x:c r="M66" s="73" t="str">
        <x:f>IF(A66="","",L66*(1+IF(J66="Buy Order",Settings!$B$16,0)))</x:f>
      </x:c>
      <x:c r="N66" s="73" t="str">
        <x:f>IF(A66="","",G66*M66)</x:f>
      </x:c>
    </x:row>
    <x:row r="67">
      <x:c r="A67" s="42"/>
      <x:c r="B67" s="42"/>
      <x:c r="C67" s="42"/>
      <x:c r="D67" s="42"/>
      <x:c r="E67" s="42"/>
      <x:c r="F67" s="42"/>
      <x:c r="G67" s="70"/>
      <x:c r="H67" s="42"/>
      <x:c r="I67" s="42"/>
      <x:c r="J67" s="42"/>
      <x:c r="K67" s="72"/>
      <x:c r="L67" s="73" t="str">
        <x:f>IF(A67="","",IF(K67&gt;0,K67,IF(J67="Buy Order",SUMIFS('Market Data'!$F$5:$F$504,'Market Data'!$A$5:$A$504,I67,'Market Data'!$B$5:$B$504,E67,'Market Data'!$D$5:$D$504,1),SUMIFS('Market Data'!$E$5:$E$504,'Market Data'!$A$5:$A$504,I67,'Market Data'!$B$5:$B$504,E67,'Market Data'!$D$5:$D$504,1))))</x:f>
      </x:c>
      <x:c r="M67" s="73" t="str">
        <x:f>IF(A67="","",L67*(1+IF(J67="Buy Order",Settings!$B$16,0)))</x:f>
      </x:c>
      <x:c r="N67" s="73" t="str">
        <x:f>IF(A67="","",G67*M67)</x:f>
      </x:c>
    </x:row>
    <x:row r="68">
      <x:c r="A68" s="42"/>
      <x:c r="B68" s="42"/>
      <x:c r="C68" s="42"/>
      <x:c r="D68" s="42"/>
      <x:c r="E68" s="42"/>
      <x:c r="F68" s="42"/>
      <x:c r="G68" s="70"/>
      <x:c r="H68" s="42"/>
      <x:c r="I68" s="42"/>
      <x:c r="J68" s="42"/>
      <x:c r="K68" s="72"/>
      <x:c r="L68" s="73" t="str">
        <x:f>IF(A68="","",IF(K68&gt;0,K68,IF(J68="Buy Order",SUMIFS('Market Data'!$F$5:$F$504,'Market Data'!$A$5:$A$504,I68,'Market Data'!$B$5:$B$504,E68,'Market Data'!$D$5:$D$504,1),SUMIFS('Market Data'!$E$5:$E$504,'Market Data'!$A$5:$A$504,I68,'Market Data'!$B$5:$B$504,E68,'Market Data'!$D$5:$D$504,1))))</x:f>
      </x:c>
      <x:c r="M68" s="73" t="str">
        <x:f>IF(A68="","",L68*(1+IF(J68="Buy Order",Settings!$B$16,0)))</x:f>
      </x:c>
      <x:c r="N68" s="73" t="str">
        <x:f>IF(A68="","",G68*M68)</x:f>
      </x:c>
    </x:row>
    <x:row r="69">
      <x:c r="A69" s="42"/>
      <x:c r="B69" s="42"/>
      <x:c r="C69" s="42"/>
      <x:c r="D69" s="42"/>
      <x:c r="E69" s="42"/>
      <x:c r="F69" s="42"/>
      <x:c r="G69" s="70"/>
      <x:c r="H69" s="42"/>
      <x:c r="I69" s="42"/>
      <x:c r="J69" s="42"/>
      <x:c r="K69" s="72"/>
      <x:c r="L69" s="73" t="str">
        <x:f>IF(A69="","",IF(K69&gt;0,K69,IF(J69="Buy Order",SUMIFS('Market Data'!$F$5:$F$504,'Market Data'!$A$5:$A$504,I69,'Market Data'!$B$5:$B$504,E69,'Market Data'!$D$5:$D$504,1),SUMIFS('Market Data'!$E$5:$E$504,'Market Data'!$A$5:$A$504,I69,'Market Data'!$B$5:$B$504,E69,'Market Data'!$D$5:$D$504,1))))</x:f>
      </x:c>
      <x:c r="M69" s="73" t="str">
        <x:f>IF(A69="","",L69*(1+IF(J69="Buy Order",Settings!$B$16,0)))</x:f>
      </x:c>
      <x:c r="N69" s="73" t="str">
        <x:f>IF(A69="","",G69*M69)</x:f>
      </x:c>
    </x:row>
    <x:row r="70">
      <x:c r="A70" s="42"/>
      <x:c r="B70" s="42"/>
      <x:c r="C70" s="42"/>
      <x:c r="D70" s="42"/>
      <x:c r="E70" s="42"/>
      <x:c r="F70" s="42"/>
      <x:c r="G70" s="70"/>
      <x:c r="H70" s="42"/>
      <x:c r="I70" s="42"/>
      <x:c r="J70" s="42"/>
      <x:c r="K70" s="72"/>
      <x:c r="L70" s="73" t="str">
        <x:f>IF(A70="","",IF(K70&gt;0,K70,IF(J70="Buy Order",SUMIFS('Market Data'!$F$5:$F$504,'Market Data'!$A$5:$A$504,I70,'Market Data'!$B$5:$B$504,E70,'Market Data'!$D$5:$D$504,1),SUMIFS('Market Data'!$E$5:$E$504,'Market Data'!$A$5:$A$504,I70,'Market Data'!$B$5:$B$504,E70,'Market Data'!$D$5:$D$504,1))))</x:f>
      </x:c>
      <x:c r="M70" s="73" t="str">
        <x:f>IF(A70="","",L70*(1+IF(J70="Buy Order",Settings!$B$16,0)))</x:f>
      </x:c>
      <x:c r="N70" s="73" t="str">
        <x:f>IF(A70="","",G70*M70)</x:f>
      </x:c>
    </x:row>
    <x:row r="71">
      <x:c r="A71" s="42"/>
      <x:c r="B71" s="42"/>
      <x:c r="C71" s="42"/>
      <x:c r="D71" s="42"/>
      <x:c r="E71" s="42"/>
      <x:c r="F71" s="42"/>
      <x:c r="G71" s="70"/>
      <x:c r="H71" s="42"/>
      <x:c r="I71" s="42"/>
      <x:c r="J71" s="42"/>
      <x:c r="K71" s="72"/>
      <x:c r="L71" s="73" t="str">
        <x:f>IF(A71="","",IF(K71&gt;0,K71,IF(J71="Buy Order",SUMIFS('Market Data'!$F$5:$F$504,'Market Data'!$A$5:$A$504,I71,'Market Data'!$B$5:$B$504,E71,'Market Data'!$D$5:$D$504,1),SUMIFS('Market Data'!$E$5:$E$504,'Market Data'!$A$5:$A$504,I71,'Market Data'!$B$5:$B$504,E71,'Market Data'!$D$5:$D$504,1))))</x:f>
      </x:c>
      <x:c r="M71" s="73" t="str">
        <x:f>IF(A71="","",L71*(1+IF(J71="Buy Order",Settings!$B$16,0)))</x:f>
      </x:c>
      <x:c r="N71" s="73" t="str">
        <x:f>IF(A71="","",G71*M71)</x:f>
      </x:c>
    </x:row>
    <x:row r="72">
      <x:c r="A72" s="42"/>
      <x:c r="B72" s="42"/>
      <x:c r="C72" s="42"/>
      <x:c r="D72" s="42"/>
      <x:c r="E72" s="42"/>
      <x:c r="F72" s="42"/>
      <x:c r="G72" s="70"/>
      <x:c r="H72" s="42"/>
      <x:c r="I72" s="42"/>
      <x:c r="J72" s="42"/>
      <x:c r="K72" s="72"/>
      <x:c r="L72" s="73" t="str">
        <x:f>IF(A72="","",IF(K72&gt;0,K72,IF(J72="Buy Order",SUMIFS('Market Data'!$F$5:$F$504,'Market Data'!$A$5:$A$504,I72,'Market Data'!$B$5:$B$504,E72,'Market Data'!$D$5:$D$504,1),SUMIFS('Market Data'!$E$5:$E$504,'Market Data'!$A$5:$A$504,I72,'Market Data'!$B$5:$B$504,E72,'Market Data'!$D$5:$D$504,1))))</x:f>
      </x:c>
      <x:c r="M72" s="73" t="str">
        <x:f>IF(A72="","",L72*(1+IF(J72="Buy Order",Settings!$B$16,0)))</x:f>
      </x:c>
      <x:c r="N72" s="73" t="str">
        <x:f>IF(A72="","",G72*M72)</x:f>
      </x:c>
    </x:row>
    <x:row r="73">
      <x:c r="A73" s="42"/>
      <x:c r="B73" s="42"/>
      <x:c r="C73" s="42"/>
      <x:c r="D73" s="42"/>
      <x:c r="E73" s="42"/>
      <x:c r="F73" s="42"/>
      <x:c r="G73" s="70"/>
      <x:c r="H73" s="42"/>
      <x:c r="I73" s="42"/>
      <x:c r="J73" s="42"/>
      <x:c r="K73" s="72"/>
      <x:c r="L73" s="73" t="str">
        <x:f>IF(A73="","",IF(K73&gt;0,K73,IF(J73="Buy Order",SUMIFS('Market Data'!$F$5:$F$504,'Market Data'!$A$5:$A$504,I73,'Market Data'!$B$5:$B$504,E73,'Market Data'!$D$5:$D$504,1),SUMIFS('Market Data'!$E$5:$E$504,'Market Data'!$A$5:$A$504,I73,'Market Data'!$B$5:$B$504,E73,'Market Data'!$D$5:$D$504,1))))</x:f>
      </x:c>
      <x:c r="M73" s="73" t="str">
        <x:f>IF(A73="","",L73*(1+IF(J73="Buy Order",Settings!$B$16,0)))</x:f>
      </x:c>
      <x:c r="N73" s="73" t="str">
        <x:f>IF(A73="","",G73*M73)</x:f>
      </x:c>
    </x:row>
    <x:row r="74">
      <x:c r="A74" s="42"/>
      <x:c r="B74" s="42"/>
      <x:c r="C74" s="42"/>
      <x:c r="D74" s="42"/>
      <x:c r="E74" s="42"/>
      <x:c r="F74" s="42"/>
      <x:c r="G74" s="70"/>
      <x:c r="H74" s="42"/>
      <x:c r="I74" s="42"/>
      <x:c r="J74" s="42"/>
      <x:c r="K74" s="72"/>
      <x:c r="L74" s="73" t="str">
        <x:f>IF(A74="","",IF(K74&gt;0,K74,IF(J74="Buy Order",SUMIFS('Market Data'!$F$5:$F$504,'Market Data'!$A$5:$A$504,I74,'Market Data'!$B$5:$B$504,E74,'Market Data'!$D$5:$D$504,1),SUMIFS('Market Data'!$E$5:$E$504,'Market Data'!$A$5:$A$504,I74,'Market Data'!$B$5:$B$504,E74,'Market Data'!$D$5:$D$504,1))))</x:f>
      </x:c>
      <x:c r="M74" s="73" t="str">
        <x:f>IF(A74="","",L74*(1+IF(J74="Buy Order",Settings!$B$16,0)))</x:f>
      </x:c>
      <x:c r="N74" s="73" t="str">
        <x:f>IF(A74="","",G74*M74)</x:f>
      </x:c>
    </x:row>
    <x:row r="75">
      <x:c r="A75" s="42"/>
      <x:c r="B75" s="42"/>
      <x:c r="C75" s="42"/>
      <x:c r="D75" s="42"/>
      <x:c r="E75" s="42"/>
      <x:c r="F75" s="42"/>
      <x:c r="G75" s="70"/>
      <x:c r="H75" s="42"/>
      <x:c r="I75" s="42"/>
      <x:c r="J75" s="42"/>
      <x:c r="K75" s="72"/>
      <x:c r="L75" s="73" t="str">
        <x:f>IF(A75="","",IF(K75&gt;0,K75,IF(J75="Buy Order",SUMIFS('Market Data'!$F$5:$F$504,'Market Data'!$A$5:$A$504,I75,'Market Data'!$B$5:$B$504,E75,'Market Data'!$D$5:$D$504,1),SUMIFS('Market Data'!$E$5:$E$504,'Market Data'!$A$5:$A$504,I75,'Market Data'!$B$5:$B$504,E75,'Market Data'!$D$5:$D$504,1))))</x:f>
      </x:c>
      <x:c r="M75" s="73" t="str">
        <x:f>IF(A75="","",L75*(1+IF(J75="Buy Order",Settings!$B$16,0)))</x:f>
      </x:c>
      <x:c r="N75" s="73" t="str">
        <x:f>IF(A75="","",G75*M75)</x:f>
      </x:c>
    </x:row>
    <x:row r="76">
      <x:c r="A76" s="42"/>
      <x:c r="B76" s="42"/>
      <x:c r="C76" s="42"/>
      <x:c r="D76" s="42"/>
      <x:c r="E76" s="42"/>
      <x:c r="F76" s="42"/>
      <x:c r="G76" s="70"/>
      <x:c r="H76" s="42"/>
      <x:c r="I76" s="42"/>
      <x:c r="J76" s="42"/>
      <x:c r="K76" s="72"/>
      <x:c r="L76" s="73" t="str">
        <x:f>IF(A76="","",IF(K76&gt;0,K76,IF(J76="Buy Order",SUMIFS('Market Data'!$F$5:$F$504,'Market Data'!$A$5:$A$504,I76,'Market Data'!$B$5:$B$504,E76,'Market Data'!$D$5:$D$504,1),SUMIFS('Market Data'!$E$5:$E$504,'Market Data'!$A$5:$A$504,I76,'Market Data'!$B$5:$B$504,E76,'Market Data'!$D$5:$D$504,1))))</x:f>
      </x:c>
      <x:c r="M76" s="73" t="str">
        <x:f>IF(A76="","",L76*(1+IF(J76="Buy Order",Settings!$B$16,0)))</x:f>
      </x:c>
      <x:c r="N76" s="73" t="str">
        <x:f>IF(A76="","",G76*M76)</x:f>
      </x:c>
    </x:row>
    <x:row r="77">
      <x:c r="A77" s="42"/>
      <x:c r="B77" s="42"/>
      <x:c r="C77" s="42"/>
      <x:c r="D77" s="42"/>
      <x:c r="E77" s="42"/>
      <x:c r="F77" s="42"/>
      <x:c r="G77" s="70"/>
      <x:c r="H77" s="42"/>
      <x:c r="I77" s="42"/>
      <x:c r="J77" s="42"/>
      <x:c r="K77" s="72"/>
      <x:c r="L77" s="73" t="str">
        <x:f>IF(A77="","",IF(K77&gt;0,K77,IF(J77="Buy Order",SUMIFS('Market Data'!$F$5:$F$504,'Market Data'!$A$5:$A$504,I77,'Market Data'!$B$5:$B$504,E77,'Market Data'!$D$5:$D$504,1),SUMIFS('Market Data'!$E$5:$E$504,'Market Data'!$A$5:$A$504,I77,'Market Data'!$B$5:$B$504,E77,'Market Data'!$D$5:$D$504,1))))</x:f>
      </x:c>
      <x:c r="M77" s="73" t="str">
        <x:f>IF(A77="","",L77*(1+IF(J77="Buy Order",Settings!$B$16,0)))</x:f>
      </x:c>
      <x:c r="N77" s="73" t="str">
        <x:f>IF(A77="","",G77*M77)</x:f>
      </x:c>
    </x:row>
    <x:row r="78">
      <x:c r="A78" s="42"/>
      <x:c r="B78" s="42"/>
      <x:c r="C78" s="42"/>
      <x:c r="D78" s="42"/>
      <x:c r="E78" s="42"/>
      <x:c r="F78" s="42"/>
      <x:c r="G78" s="70"/>
      <x:c r="H78" s="42"/>
      <x:c r="I78" s="42"/>
      <x:c r="J78" s="42"/>
      <x:c r="K78" s="72"/>
      <x:c r="L78" s="73" t="str">
        <x:f>IF(A78="","",IF(K78&gt;0,K78,IF(J78="Buy Order",SUMIFS('Market Data'!$F$5:$F$504,'Market Data'!$A$5:$A$504,I78,'Market Data'!$B$5:$B$504,E78,'Market Data'!$D$5:$D$504,1),SUMIFS('Market Data'!$E$5:$E$504,'Market Data'!$A$5:$A$504,I78,'Market Data'!$B$5:$B$504,E78,'Market Data'!$D$5:$D$504,1))))</x:f>
      </x:c>
      <x:c r="M78" s="73" t="str">
        <x:f>IF(A78="","",L78*(1+IF(J78="Buy Order",Settings!$B$16,0)))</x:f>
      </x:c>
      <x:c r="N78" s="73" t="str">
        <x:f>IF(A78="","",G78*M78)</x:f>
      </x:c>
    </x:row>
    <x:row r="79">
      <x:c r="A79" s="42"/>
      <x:c r="B79" s="42"/>
      <x:c r="C79" s="42"/>
      <x:c r="D79" s="42"/>
      <x:c r="E79" s="42"/>
      <x:c r="F79" s="42"/>
      <x:c r="G79" s="70"/>
      <x:c r="H79" s="42"/>
      <x:c r="I79" s="42"/>
      <x:c r="J79" s="42"/>
      <x:c r="K79" s="72"/>
      <x:c r="L79" s="73" t="str">
        <x:f>IF(A79="","",IF(K79&gt;0,K79,IF(J79="Buy Order",SUMIFS('Market Data'!$F$5:$F$504,'Market Data'!$A$5:$A$504,I79,'Market Data'!$B$5:$B$504,E79,'Market Data'!$D$5:$D$504,1),SUMIFS('Market Data'!$E$5:$E$504,'Market Data'!$A$5:$A$504,I79,'Market Data'!$B$5:$B$504,E79,'Market Data'!$D$5:$D$504,1))))</x:f>
      </x:c>
      <x:c r="M79" s="73" t="str">
        <x:f>IF(A79="","",L79*(1+IF(J79="Buy Order",Settings!$B$16,0)))</x:f>
      </x:c>
      <x:c r="N79" s="73" t="str">
        <x:f>IF(A79="","",G79*M79)</x:f>
      </x:c>
    </x:row>
    <x:row r="80">
      <x:c r="A80" s="42"/>
      <x:c r="B80" s="42"/>
      <x:c r="C80" s="42"/>
      <x:c r="D80" s="42"/>
      <x:c r="E80" s="42"/>
      <x:c r="F80" s="42"/>
      <x:c r="G80" s="70"/>
      <x:c r="H80" s="42"/>
      <x:c r="I80" s="42"/>
      <x:c r="J80" s="42"/>
      <x:c r="K80" s="72"/>
      <x:c r="L80" s="73" t="str">
        <x:f>IF(A80="","",IF(K80&gt;0,K80,IF(J80="Buy Order",SUMIFS('Market Data'!$F$5:$F$504,'Market Data'!$A$5:$A$504,I80,'Market Data'!$B$5:$B$504,E80,'Market Data'!$D$5:$D$504,1),SUMIFS('Market Data'!$E$5:$E$504,'Market Data'!$A$5:$A$504,I80,'Market Data'!$B$5:$B$504,E80,'Market Data'!$D$5:$D$504,1))))</x:f>
      </x:c>
      <x:c r="M80" s="73" t="str">
        <x:f>IF(A80="","",L80*(1+IF(J80="Buy Order",Settings!$B$16,0)))</x:f>
      </x:c>
      <x:c r="N80" s="73" t="str">
        <x:f>IF(A80="","",G80*M80)</x:f>
      </x:c>
    </x:row>
    <x:row r="81">
      <x:c r="A81" s="42"/>
      <x:c r="B81" s="42"/>
      <x:c r="C81" s="42"/>
      <x:c r="D81" s="42"/>
      <x:c r="E81" s="42"/>
      <x:c r="F81" s="42"/>
      <x:c r="G81" s="70"/>
      <x:c r="H81" s="42"/>
      <x:c r="I81" s="42"/>
      <x:c r="J81" s="42"/>
      <x:c r="K81" s="72"/>
      <x:c r="L81" s="73" t="str">
        <x:f>IF(A81="","",IF(K81&gt;0,K81,IF(J81="Buy Order",SUMIFS('Market Data'!$F$5:$F$504,'Market Data'!$A$5:$A$504,I81,'Market Data'!$B$5:$B$504,E81,'Market Data'!$D$5:$D$504,1),SUMIFS('Market Data'!$E$5:$E$504,'Market Data'!$A$5:$A$504,I81,'Market Data'!$B$5:$B$504,E81,'Market Data'!$D$5:$D$504,1))))</x:f>
      </x:c>
      <x:c r="M81" s="73" t="str">
        <x:f>IF(A81="","",L81*(1+IF(J81="Buy Order",Settings!$B$16,0)))</x:f>
      </x:c>
      <x:c r="N81" s="73" t="str">
        <x:f>IF(A81="","",G81*M81)</x:f>
      </x:c>
    </x:row>
    <x:row r="82">
      <x:c r="A82" s="42"/>
      <x:c r="B82" s="42"/>
      <x:c r="C82" s="42"/>
      <x:c r="D82" s="42"/>
      <x:c r="E82" s="42"/>
      <x:c r="F82" s="42"/>
      <x:c r="G82" s="70"/>
      <x:c r="H82" s="42"/>
      <x:c r="I82" s="42"/>
      <x:c r="J82" s="42"/>
      <x:c r="K82" s="72"/>
      <x:c r="L82" s="73" t="str">
        <x:f>IF(A82="","",IF(K82&gt;0,K82,IF(J82="Buy Order",SUMIFS('Market Data'!$F$5:$F$504,'Market Data'!$A$5:$A$504,I82,'Market Data'!$B$5:$B$504,E82,'Market Data'!$D$5:$D$504,1),SUMIFS('Market Data'!$E$5:$E$504,'Market Data'!$A$5:$A$504,I82,'Market Data'!$B$5:$B$504,E82,'Market Data'!$D$5:$D$504,1))))</x:f>
      </x:c>
      <x:c r="M82" s="73" t="str">
        <x:f>IF(A82="","",L82*(1+IF(J82="Buy Order",Settings!$B$16,0)))</x:f>
      </x:c>
      <x:c r="N82" s="73" t="str">
        <x:f>IF(A82="","",G82*M82)</x:f>
      </x:c>
    </x:row>
    <x:row r="83">
      <x:c r="A83" s="42"/>
      <x:c r="B83" s="42"/>
      <x:c r="C83" s="42"/>
      <x:c r="D83" s="42"/>
      <x:c r="E83" s="42"/>
      <x:c r="F83" s="42"/>
      <x:c r="G83" s="70"/>
      <x:c r="H83" s="42"/>
      <x:c r="I83" s="42"/>
      <x:c r="J83" s="42"/>
      <x:c r="K83" s="72"/>
      <x:c r="L83" s="73" t="str">
        <x:f>IF(A83="","",IF(K83&gt;0,K83,IF(J83="Buy Order",SUMIFS('Market Data'!$F$5:$F$504,'Market Data'!$A$5:$A$504,I83,'Market Data'!$B$5:$B$504,E83,'Market Data'!$D$5:$D$504,1),SUMIFS('Market Data'!$E$5:$E$504,'Market Data'!$A$5:$A$504,I83,'Market Data'!$B$5:$B$504,E83,'Market Data'!$D$5:$D$504,1))))</x:f>
      </x:c>
      <x:c r="M83" s="73" t="str">
        <x:f>IF(A83="","",L83*(1+IF(J83="Buy Order",Settings!$B$16,0)))</x:f>
      </x:c>
      <x:c r="N83" s="73" t="str">
        <x:f>IF(A83="","",G83*M83)</x:f>
      </x:c>
    </x:row>
    <x:row r="84">
      <x:c r="A84" s="42"/>
      <x:c r="B84" s="42"/>
      <x:c r="C84" s="42"/>
      <x:c r="D84" s="42"/>
      <x:c r="E84" s="42"/>
      <x:c r="F84" s="42"/>
      <x:c r="G84" s="70"/>
      <x:c r="H84" s="42"/>
      <x:c r="I84" s="42"/>
      <x:c r="J84" s="42"/>
      <x:c r="K84" s="72"/>
      <x:c r="L84" s="73" t="str">
        <x:f>IF(A84="","",IF(K84&gt;0,K84,IF(J84="Buy Order",SUMIFS('Market Data'!$F$5:$F$504,'Market Data'!$A$5:$A$504,I84,'Market Data'!$B$5:$B$504,E84,'Market Data'!$D$5:$D$504,1),SUMIFS('Market Data'!$E$5:$E$504,'Market Data'!$A$5:$A$504,I84,'Market Data'!$B$5:$B$504,E84,'Market Data'!$D$5:$D$504,1))))</x:f>
      </x:c>
      <x:c r="M84" s="73" t="str">
        <x:f>IF(A84="","",L84*(1+IF(J84="Buy Order",Settings!$B$16,0)))</x:f>
      </x:c>
      <x:c r="N84" s="73" t="str">
        <x:f>IF(A84="","",G84*M84)</x:f>
      </x:c>
    </x:row>
    <x:row r="85">
      <x:c r="A85" s="42"/>
      <x:c r="B85" s="42"/>
      <x:c r="C85" s="42"/>
      <x:c r="D85" s="42"/>
      <x:c r="E85" s="42"/>
      <x:c r="F85" s="42"/>
      <x:c r="G85" s="70"/>
      <x:c r="H85" s="42"/>
      <x:c r="I85" s="42"/>
      <x:c r="J85" s="42"/>
      <x:c r="K85" s="72"/>
      <x:c r="L85" s="73" t="str">
        <x:f>IF(A85="","",IF(K85&gt;0,K85,IF(J85="Buy Order",SUMIFS('Market Data'!$F$5:$F$504,'Market Data'!$A$5:$A$504,I85,'Market Data'!$B$5:$B$504,E85,'Market Data'!$D$5:$D$504,1),SUMIFS('Market Data'!$E$5:$E$504,'Market Data'!$A$5:$A$504,I85,'Market Data'!$B$5:$B$504,E85,'Market Data'!$D$5:$D$504,1))))</x:f>
      </x:c>
      <x:c r="M85" s="73" t="str">
        <x:f>IF(A85="","",L85*(1+IF(J85="Buy Order",Settings!$B$16,0)))</x:f>
      </x:c>
      <x:c r="N85" s="73" t="str">
        <x:f>IF(A85="","",G85*M85)</x:f>
      </x:c>
    </x:row>
    <x:row r="86">
      <x:c r="A86" s="42"/>
      <x:c r="B86" s="42"/>
      <x:c r="C86" s="42"/>
      <x:c r="D86" s="42"/>
      <x:c r="E86" s="42"/>
      <x:c r="F86" s="42"/>
      <x:c r="G86" s="70"/>
      <x:c r="H86" s="42"/>
      <x:c r="I86" s="42"/>
      <x:c r="J86" s="42"/>
      <x:c r="K86" s="72"/>
      <x:c r="L86" s="73" t="str">
        <x:f>IF(A86="","",IF(K86&gt;0,K86,IF(J86="Buy Order",SUMIFS('Market Data'!$F$5:$F$504,'Market Data'!$A$5:$A$504,I86,'Market Data'!$B$5:$B$504,E86,'Market Data'!$D$5:$D$504,1),SUMIFS('Market Data'!$E$5:$E$504,'Market Data'!$A$5:$A$504,I86,'Market Data'!$B$5:$B$504,E86,'Market Data'!$D$5:$D$504,1))))</x:f>
      </x:c>
      <x:c r="M86" s="73" t="str">
        <x:f>IF(A86="","",L86*(1+IF(J86="Buy Order",Settings!$B$16,0)))</x:f>
      </x:c>
      <x:c r="N86" s="73" t="str">
        <x:f>IF(A86="","",G86*M86)</x:f>
      </x:c>
    </x:row>
    <x:row r="87">
      <x:c r="A87" s="42"/>
      <x:c r="B87" s="42"/>
      <x:c r="C87" s="42"/>
      <x:c r="D87" s="42"/>
      <x:c r="E87" s="42"/>
      <x:c r="F87" s="42"/>
      <x:c r="G87" s="70"/>
      <x:c r="H87" s="42"/>
      <x:c r="I87" s="42"/>
      <x:c r="J87" s="42"/>
      <x:c r="K87" s="72"/>
      <x:c r="L87" s="73" t="str">
        <x:f>IF(A87="","",IF(K87&gt;0,K87,IF(J87="Buy Order",SUMIFS('Market Data'!$F$5:$F$504,'Market Data'!$A$5:$A$504,I87,'Market Data'!$B$5:$B$504,E87,'Market Data'!$D$5:$D$504,1),SUMIFS('Market Data'!$E$5:$E$504,'Market Data'!$A$5:$A$504,I87,'Market Data'!$B$5:$B$504,E87,'Market Data'!$D$5:$D$504,1))))</x:f>
      </x:c>
      <x:c r="M87" s="73" t="str">
        <x:f>IF(A87="","",L87*(1+IF(J87="Buy Order",Settings!$B$16,0)))</x:f>
      </x:c>
      <x:c r="N87" s="73" t="str">
        <x:f>IF(A87="","",G87*M87)</x:f>
      </x:c>
    </x:row>
    <x:row r="88">
      <x:c r="A88" s="42"/>
      <x:c r="B88" s="42"/>
      <x:c r="C88" s="42"/>
      <x:c r="D88" s="42"/>
      <x:c r="E88" s="42"/>
      <x:c r="F88" s="42"/>
      <x:c r="G88" s="70"/>
      <x:c r="H88" s="42"/>
      <x:c r="I88" s="42"/>
      <x:c r="J88" s="42"/>
      <x:c r="K88" s="72"/>
      <x:c r="L88" s="73" t="str">
        <x:f>IF(A88="","",IF(K88&gt;0,K88,IF(J88="Buy Order",SUMIFS('Market Data'!$F$5:$F$504,'Market Data'!$A$5:$A$504,I88,'Market Data'!$B$5:$B$504,E88,'Market Data'!$D$5:$D$504,1),SUMIFS('Market Data'!$E$5:$E$504,'Market Data'!$A$5:$A$504,I88,'Market Data'!$B$5:$B$504,E88,'Market Data'!$D$5:$D$504,1))))</x:f>
      </x:c>
      <x:c r="M88" s="73" t="str">
        <x:f>IF(A88="","",L88*(1+IF(J88="Buy Order",Settings!$B$16,0)))</x:f>
      </x:c>
      <x:c r="N88" s="73" t="str">
        <x:f>IF(A88="","",G88*M88)</x:f>
      </x:c>
    </x:row>
    <x:row r="89">
      <x:c r="A89" s="42"/>
      <x:c r="B89" s="42"/>
      <x:c r="C89" s="42"/>
      <x:c r="D89" s="42"/>
      <x:c r="E89" s="42"/>
      <x:c r="F89" s="42"/>
      <x:c r="G89" s="70"/>
      <x:c r="H89" s="42"/>
      <x:c r="I89" s="42"/>
      <x:c r="J89" s="42"/>
      <x:c r="K89" s="72"/>
      <x:c r="L89" s="73" t="str">
        <x:f>IF(A89="","",IF(K89&gt;0,K89,IF(J89="Buy Order",SUMIFS('Market Data'!$F$5:$F$504,'Market Data'!$A$5:$A$504,I89,'Market Data'!$B$5:$B$504,E89,'Market Data'!$D$5:$D$504,1),SUMIFS('Market Data'!$E$5:$E$504,'Market Data'!$A$5:$A$504,I89,'Market Data'!$B$5:$B$504,E89,'Market Data'!$D$5:$D$504,1))))</x:f>
      </x:c>
      <x:c r="M89" s="73" t="str">
        <x:f>IF(A89="","",L89*(1+IF(J89="Buy Order",Settings!$B$16,0)))</x:f>
      </x:c>
      <x:c r="N89" s="73" t="str">
        <x:f>IF(A89="","",G89*M89)</x:f>
      </x:c>
    </x:row>
    <x:row r="90">
      <x:c r="A90" s="42"/>
      <x:c r="B90" s="42"/>
      <x:c r="C90" s="42"/>
      <x:c r="D90" s="42"/>
      <x:c r="E90" s="42"/>
      <x:c r="F90" s="42"/>
      <x:c r="G90" s="70"/>
      <x:c r="H90" s="42"/>
      <x:c r="I90" s="42"/>
      <x:c r="J90" s="42"/>
      <x:c r="K90" s="72"/>
      <x:c r="L90" s="73" t="str">
        <x:f>IF(A90="","",IF(K90&gt;0,K90,IF(J90="Buy Order",SUMIFS('Market Data'!$F$5:$F$504,'Market Data'!$A$5:$A$504,I90,'Market Data'!$B$5:$B$504,E90,'Market Data'!$D$5:$D$504,1),SUMIFS('Market Data'!$E$5:$E$504,'Market Data'!$A$5:$A$504,I90,'Market Data'!$B$5:$B$504,E90,'Market Data'!$D$5:$D$504,1))))</x:f>
      </x:c>
      <x:c r="M90" s="73" t="str">
        <x:f>IF(A90="","",L90*(1+IF(J90="Buy Order",Settings!$B$16,0)))</x:f>
      </x:c>
      <x:c r="N90" s="73" t="str">
        <x:f>IF(A90="","",G90*M90)</x:f>
      </x:c>
    </x:row>
    <x:row r="91">
      <x:c r="A91" s="42"/>
      <x:c r="B91" s="42"/>
      <x:c r="C91" s="42"/>
      <x:c r="D91" s="42"/>
      <x:c r="E91" s="42"/>
      <x:c r="F91" s="42"/>
      <x:c r="G91" s="70"/>
      <x:c r="H91" s="42"/>
      <x:c r="I91" s="42"/>
      <x:c r="J91" s="42"/>
      <x:c r="K91" s="72"/>
      <x:c r="L91" s="73" t="str">
        <x:f>IF(A91="","",IF(K91&gt;0,K91,IF(J91="Buy Order",SUMIFS('Market Data'!$F$5:$F$504,'Market Data'!$A$5:$A$504,I91,'Market Data'!$B$5:$B$504,E91,'Market Data'!$D$5:$D$504,1),SUMIFS('Market Data'!$E$5:$E$504,'Market Data'!$A$5:$A$504,I91,'Market Data'!$B$5:$B$504,E91,'Market Data'!$D$5:$D$504,1))))</x:f>
      </x:c>
      <x:c r="M91" s="73" t="str">
        <x:f>IF(A91="","",L91*(1+IF(J91="Buy Order",Settings!$B$16,0)))</x:f>
      </x:c>
      <x:c r="N91" s="73" t="str">
        <x:f>IF(A91="","",G91*M91)</x:f>
      </x:c>
    </x:row>
    <x:row r="92">
      <x:c r="A92" s="42"/>
      <x:c r="B92" s="42"/>
      <x:c r="C92" s="42"/>
      <x:c r="D92" s="42"/>
      <x:c r="E92" s="42"/>
      <x:c r="F92" s="42"/>
      <x:c r="G92" s="70"/>
      <x:c r="H92" s="42"/>
      <x:c r="I92" s="42"/>
      <x:c r="J92" s="42"/>
      <x:c r="K92" s="72"/>
      <x:c r="L92" s="73" t="str">
        <x:f>IF(A92="","",IF(K92&gt;0,K92,IF(J92="Buy Order",SUMIFS('Market Data'!$F$5:$F$504,'Market Data'!$A$5:$A$504,I92,'Market Data'!$B$5:$B$504,E92,'Market Data'!$D$5:$D$504,1),SUMIFS('Market Data'!$E$5:$E$504,'Market Data'!$A$5:$A$504,I92,'Market Data'!$B$5:$B$504,E92,'Market Data'!$D$5:$D$504,1))))</x:f>
      </x:c>
      <x:c r="M92" s="73" t="str">
        <x:f>IF(A92="","",L92*(1+IF(J92="Buy Order",Settings!$B$16,0)))</x:f>
      </x:c>
      <x:c r="N92" s="73" t="str">
        <x:f>IF(A92="","",G92*M92)</x:f>
      </x:c>
    </x:row>
    <x:row r="93">
      <x:c r="A93" s="42"/>
      <x:c r="B93" s="42"/>
      <x:c r="C93" s="42"/>
      <x:c r="D93" s="42"/>
      <x:c r="E93" s="42"/>
      <x:c r="F93" s="42"/>
      <x:c r="G93" s="70"/>
      <x:c r="H93" s="42"/>
      <x:c r="I93" s="42"/>
      <x:c r="J93" s="42"/>
      <x:c r="K93" s="72"/>
      <x:c r="L93" s="73" t="str">
        <x:f>IF(A93="","",IF(K93&gt;0,K93,IF(J93="Buy Order",SUMIFS('Market Data'!$F$5:$F$504,'Market Data'!$A$5:$A$504,I93,'Market Data'!$B$5:$B$504,E93,'Market Data'!$D$5:$D$504,1),SUMIFS('Market Data'!$E$5:$E$504,'Market Data'!$A$5:$A$504,I93,'Market Data'!$B$5:$B$504,E93,'Market Data'!$D$5:$D$504,1))))</x:f>
      </x:c>
      <x:c r="M93" s="73" t="str">
        <x:f>IF(A93="","",L93*(1+IF(J93="Buy Order",Settings!$B$16,0)))</x:f>
      </x:c>
      <x:c r="N93" s="73" t="str">
        <x:f>IF(A93="","",G93*M93)</x:f>
      </x:c>
    </x:row>
    <x:row r="94">
      <x:c r="A94" s="42"/>
      <x:c r="B94" s="42"/>
      <x:c r="C94" s="42"/>
      <x:c r="D94" s="42"/>
      <x:c r="E94" s="42"/>
      <x:c r="F94" s="42"/>
      <x:c r="G94" s="70"/>
      <x:c r="H94" s="42"/>
      <x:c r="I94" s="42"/>
      <x:c r="J94" s="42"/>
      <x:c r="K94" s="72"/>
      <x:c r="L94" s="73" t="str">
        <x:f>IF(A94="","",IF(K94&gt;0,K94,IF(J94="Buy Order",SUMIFS('Market Data'!$F$5:$F$504,'Market Data'!$A$5:$A$504,I94,'Market Data'!$B$5:$B$504,E94,'Market Data'!$D$5:$D$504,1),SUMIFS('Market Data'!$E$5:$E$504,'Market Data'!$A$5:$A$504,I94,'Market Data'!$B$5:$B$504,E94,'Market Data'!$D$5:$D$504,1))))</x:f>
      </x:c>
      <x:c r="M94" s="73" t="str">
        <x:f>IF(A94="","",L94*(1+IF(J94="Buy Order",Settings!$B$16,0)))</x:f>
      </x:c>
      <x:c r="N94" s="73" t="str">
        <x:f>IF(A94="","",G94*M94)</x:f>
      </x:c>
    </x:row>
    <x:row r="95">
      <x:c r="A95" s="42"/>
      <x:c r="B95" s="42"/>
      <x:c r="C95" s="42"/>
      <x:c r="D95" s="42"/>
      <x:c r="E95" s="42"/>
      <x:c r="F95" s="42"/>
      <x:c r="G95" s="70"/>
      <x:c r="H95" s="42"/>
      <x:c r="I95" s="42"/>
      <x:c r="J95" s="42"/>
      <x:c r="K95" s="72"/>
      <x:c r="L95" s="73" t="str">
        <x:f>IF(A95="","",IF(K95&gt;0,K95,IF(J95="Buy Order",SUMIFS('Market Data'!$F$5:$F$504,'Market Data'!$A$5:$A$504,I95,'Market Data'!$B$5:$B$504,E95,'Market Data'!$D$5:$D$504,1),SUMIFS('Market Data'!$E$5:$E$504,'Market Data'!$A$5:$A$504,I95,'Market Data'!$B$5:$B$504,E95,'Market Data'!$D$5:$D$504,1))))</x:f>
      </x:c>
      <x:c r="M95" s="73" t="str">
        <x:f>IF(A95="","",L95*(1+IF(J95="Buy Order",Settings!$B$16,0)))</x:f>
      </x:c>
      <x:c r="N95" s="73" t="str">
        <x:f>IF(A95="","",G95*M95)</x:f>
      </x:c>
    </x:row>
    <x:row r="96">
      <x:c r="A96" s="42"/>
      <x:c r="B96" s="42"/>
      <x:c r="C96" s="42"/>
      <x:c r="D96" s="42"/>
      <x:c r="E96" s="42"/>
      <x:c r="F96" s="42"/>
      <x:c r="G96" s="70"/>
      <x:c r="H96" s="42"/>
      <x:c r="I96" s="42"/>
      <x:c r="J96" s="42"/>
      <x:c r="K96" s="72"/>
      <x:c r="L96" s="73" t="str">
        <x:f>IF(A96="","",IF(K96&gt;0,K96,IF(J96="Buy Order",SUMIFS('Market Data'!$F$5:$F$504,'Market Data'!$A$5:$A$504,I96,'Market Data'!$B$5:$B$504,E96,'Market Data'!$D$5:$D$504,1),SUMIFS('Market Data'!$E$5:$E$504,'Market Data'!$A$5:$A$504,I96,'Market Data'!$B$5:$B$504,E96,'Market Data'!$D$5:$D$504,1))))</x:f>
      </x:c>
      <x:c r="M96" s="73" t="str">
        <x:f>IF(A96="","",L96*(1+IF(J96="Buy Order",Settings!$B$16,0)))</x:f>
      </x:c>
      <x:c r="N96" s="73" t="str">
        <x:f>IF(A96="","",G96*M96)</x:f>
      </x:c>
    </x:row>
    <x:row r="97">
      <x:c r="A97" s="42"/>
      <x:c r="B97" s="42"/>
      <x:c r="C97" s="42"/>
      <x:c r="D97" s="42"/>
      <x:c r="E97" s="42"/>
      <x:c r="F97" s="42"/>
      <x:c r="G97" s="70"/>
      <x:c r="H97" s="42"/>
      <x:c r="I97" s="42"/>
      <x:c r="J97" s="42"/>
      <x:c r="K97" s="72"/>
      <x:c r="L97" s="73" t="str">
        <x:f>IF(A97="","",IF(K97&gt;0,K97,IF(J97="Buy Order",SUMIFS('Market Data'!$F$5:$F$504,'Market Data'!$A$5:$A$504,I97,'Market Data'!$B$5:$B$504,E97,'Market Data'!$D$5:$D$504,1),SUMIFS('Market Data'!$E$5:$E$504,'Market Data'!$A$5:$A$504,I97,'Market Data'!$B$5:$B$504,E97,'Market Data'!$D$5:$D$504,1))))</x:f>
      </x:c>
      <x:c r="M97" s="73" t="str">
        <x:f>IF(A97="","",L97*(1+IF(J97="Buy Order",Settings!$B$16,0)))</x:f>
      </x:c>
      <x:c r="N97" s="73" t="str">
        <x:f>IF(A97="","",G97*M97)</x:f>
      </x:c>
    </x:row>
    <x:row r="98">
      <x:c r="A98" s="42"/>
      <x:c r="B98" s="42"/>
      <x:c r="C98" s="42"/>
      <x:c r="D98" s="42"/>
      <x:c r="E98" s="42"/>
      <x:c r="F98" s="42"/>
      <x:c r="G98" s="70"/>
      <x:c r="H98" s="42"/>
      <x:c r="I98" s="42"/>
      <x:c r="J98" s="42"/>
      <x:c r="K98" s="72"/>
      <x:c r="L98" s="73" t="str">
        <x:f>IF(A98="","",IF(K98&gt;0,K98,IF(J98="Buy Order",SUMIFS('Market Data'!$F$5:$F$504,'Market Data'!$A$5:$A$504,I98,'Market Data'!$B$5:$B$504,E98,'Market Data'!$D$5:$D$504,1),SUMIFS('Market Data'!$E$5:$E$504,'Market Data'!$A$5:$A$504,I98,'Market Data'!$B$5:$B$504,E98,'Market Data'!$D$5:$D$504,1))))</x:f>
      </x:c>
      <x:c r="M98" s="73" t="str">
        <x:f>IF(A98="","",L98*(1+IF(J98="Buy Order",Settings!$B$16,0)))</x:f>
      </x:c>
      <x:c r="N98" s="73" t="str">
        <x:f>IF(A98="","",G98*M98)</x:f>
      </x:c>
    </x:row>
    <x:row r="99">
      <x:c r="A99" s="42"/>
      <x:c r="B99" s="42"/>
      <x:c r="C99" s="42"/>
      <x:c r="D99" s="42"/>
      <x:c r="E99" s="42"/>
      <x:c r="F99" s="42"/>
      <x:c r="G99" s="70"/>
      <x:c r="H99" s="42"/>
      <x:c r="I99" s="42"/>
      <x:c r="J99" s="42"/>
      <x:c r="K99" s="72"/>
      <x:c r="L99" s="73" t="str">
        <x:f>IF(A99="","",IF(K99&gt;0,K99,IF(J99="Buy Order",SUMIFS('Market Data'!$F$5:$F$504,'Market Data'!$A$5:$A$504,I99,'Market Data'!$B$5:$B$504,E99,'Market Data'!$D$5:$D$504,1),SUMIFS('Market Data'!$E$5:$E$504,'Market Data'!$A$5:$A$504,I99,'Market Data'!$B$5:$B$504,E99,'Market Data'!$D$5:$D$504,1))))</x:f>
      </x:c>
      <x:c r="M99" s="73" t="str">
        <x:f>IF(A99="","",L99*(1+IF(J99="Buy Order",Settings!$B$16,0)))</x:f>
      </x:c>
      <x:c r="N99" s="73" t="str">
        <x:f>IF(A99="","",G99*M99)</x:f>
      </x:c>
    </x:row>
    <x:row r="100">
      <x:c r="A100" s="42"/>
      <x:c r="B100" s="42"/>
      <x:c r="C100" s="42"/>
      <x:c r="D100" s="42"/>
      <x:c r="E100" s="42"/>
      <x:c r="F100" s="42"/>
      <x:c r="G100" s="70"/>
      <x:c r="H100" s="42"/>
      <x:c r="I100" s="42"/>
      <x:c r="J100" s="42"/>
      <x:c r="K100" s="72"/>
      <x:c r="L100" s="73" t="str">
        <x:f>IF(A100="","",IF(K100&gt;0,K100,IF(J100="Buy Order",SUMIFS('Market Data'!$F$5:$F$504,'Market Data'!$A$5:$A$504,I100,'Market Data'!$B$5:$B$504,E100,'Market Data'!$D$5:$D$504,1),SUMIFS('Market Data'!$E$5:$E$504,'Market Data'!$A$5:$A$504,I100,'Market Data'!$B$5:$B$504,E100,'Market Data'!$D$5:$D$504,1))))</x:f>
      </x:c>
      <x:c r="M100" s="73" t="str">
        <x:f>IF(A100="","",L100*(1+IF(J100="Buy Order",Settings!$B$16,0)))</x:f>
      </x:c>
      <x:c r="N100" s="73" t="str">
        <x:f>IF(A100="","",G100*M100)</x:f>
      </x:c>
    </x:row>
    <x:row r="101">
      <x:c r="A101" s="42"/>
      <x:c r="B101" s="42"/>
      <x:c r="C101" s="42"/>
      <x:c r="D101" s="42"/>
      <x:c r="E101" s="42"/>
      <x:c r="F101" s="42"/>
      <x:c r="G101" s="70"/>
      <x:c r="H101" s="42"/>
      <x:c r="I101" s="42"/>
      <x:c r="J101" s="42"/>
      <x:c r="K101" s="72"/>
      <x:c r="L101" s="73" t="str">
        <x:f>IF(A101="","",IF(K101&gt;0,K101,IF(J101="Buy Order",SUMIFS('Market Data'!$F$5:$F$504,'Market Data'!$A$5:$A$504,I101,'Market Data'!$B$5:$B$504,E101,'Market Data'!$D$5:$D$504,1),SUMIFS('Market Data'!$E$5:$E$504,'Market Data'!$A$5:$A$504,I101,'Market Data'!$B$5:$B$504,E101,'Market Data'!$D$5:$D$504,1))))</x:f>
      </x:c>
      <x:c r="M101" s="73" t="str">
        <x:f>IF(A101="","",L101*(1+IF(J101="Buy Order",Settings!$B$16,0)))</x:f>
      </x:c>
      <x:c r="N101" s="73" t="str">
        <x:f>IF(A101="","",G101*M101)</x:f>
      </x:c>
    </x:row>
    <x:row r="102">
      <x:c r="A102" s="42"/>
      <x:c r="B102" s="42"/>
      <x:c r="C102" s="42"/>
      <x:c r="D102" s="42"/>
      <x:c r="E102" s="42"/>
      <x:c r="F102" s="42"/>
      <x:c r="G102" s="70"/>
      <x:c r="H102" s="42"/>
      <x:c r="I102" s="42"/>
      <x:c r="J102" s="42"/>
      <x:c r="K102" s="72"/>
      <x:c r="L102" s="73" t="str">
        <x:f>IF(A102="","",IF(K102&gt;0,K102,IF(J102="Buy Order",SUMIFS('Market Data'!$F$5:$F$504,'Market Data'!$A$5:$A$504,I102,'Market Data'!$B$5:$B$504,E102,'Market Data'!$D$5:$D$504,1),SUMIFS('Market Data'!$E$5:$E$504,'Market Data'!$A$5:$A$504,I102,'Market Data'!$B$5:$B$504,E102,'Market Data'!$D$5:$D$504,1))))</x:f>
      </x:c>
      <x:c r="M102" s="73" t="str">
        <x:f>IF(A102="","",L102*(1+IF(J102="Buy Order",Settings!$B$16,0)))</x:f>
      </x:c>
      <x:c r="N102" s="73" t="str">
        <x:f>IF(A102="","",G102*M102)</x:f>
      </x:c>
    </x:row>
    <x:row r="103">
      <x:c r="A103" s="42"/>
      <x:c r="B103" s="42"/>
      <x:c r="C103" s="42"/>
      <x:c r="D103" s="42"/>
      <x:c r="E103" s="42"/>
      <x:c r="F103" s="42"/>
      <x:c r="G103" s="70"/>
      <x:c r="H103" s="42"/>
      <x:c r="I103" s="42"/>
      <x:c r="J103" s="42"/>
      <x:c r="K103" s="72"/>
      <x:c r="L103" s="73" t="str">
        <x:f>IF(A103="","",IF(K103&gt;0,K103,IF(J103="Buy Order",SUMIFS('Market Data'!$F$5:$F$504,'Market Data'!$A$5:$A$504,I103,'Market Data'!$B$5:$B$504,E103,'Market Data'!$D$5:$D$504,1),SUMIFS('Market Data'!$E$5:$E$504,'Market Data'!$A$5:$A$504,I103,'Market Data'!$B$5:$B$504,E103,'Market Data'!$D$5:$D$504,1))))</x:f>
      </x:c>
      <x:c r="M103" s="73" t="str">
        <x:f>IF(A103="","",L103*(1+IF(J103="Buy Order",Settings!$B$16,0)))</x:f>
      </x:c>
      <x:c r="N103" s="73" t="str">
        <x:f>IF(A103="","",G103*M103)</x:f>
      </x:c>
    </x:row>
    <x:row r="104">
      <x:c r="A104" s="42"/>
      <x:c r="B104" s="42"/>
      <x:c r="C104" s="42"/>
      <x:c r="D104" s="42"/>
      <x:c r="E104" s="42"/>
      <x:c r="F104" s="42"/>
      <x:c r="G104" s="70"/>
      <x:c r="H104" s="42"/>
      <x:c r="I104" s="42"/>
      <x:c r="J104" s="42"/>
      <x:c r="K104" s="72"/>
      <x:c r="L104" s="73" t="str">
        <x:f>IF(A104="","",IF(K104&gt;0,K104,IF(J104="Buy Order",SUMIFS('Market Data'!$F$5:$F$504,'Market Data'!$A$5:$A$504,I104,'Market Data'!$B$5:$B$504,E104,'Market Data'!$D$5:$D$504,1),SUMIFS('Market Data'!$E$5:$E$504,'Market Data'!$A$5:$A$504,I104,'Market Data'!$B$5:$B$504,E104,'Market Data'!$D$5:$D$504,1))))</x:f>
      </x:c>
      <x:c r="M104" s="73" t="str">
        <x:f>IF(A104="","",L104*(1+IF(J104="Buy Order",Settings!$B$16,0)))</x:f>
      </x:c>
      <x:c r="N104" s="73" t="str">
        <x:f>IF(A104="","",G104*M104)</x:f>
      </x:c>
    </x:row>
    <x:row r="105">
      <x:c r="A105" s="42"/>
      <x:c r="B105" s="42"/>
      <x:c r="C105" s="42"/>
      <x:c r="D105" s="42"/>
      <x:c r="E105" s="42"/>
      <x:c r="F105" s="42"/>
      <x:c r="G105" s="70"/>
      <x:c r="H105" s="42"/>
      <x:c r="I105" s="42"/>
      <x:c r="J105" s="42"/>
      <x:c r="K105" s="72"/>
      <x:c r="L105" s="73" t="str">
        <x:f>IF(A105="","",IF(K105&gt;0,K105,IF(J105="Buy Order",SUMIFS('Market Data'!$F$5:$F$504,'Market Data'!$A$5:$A$504,I105,'Market Data'!$B$5:$B$504,E105,'Market Data'!$D$5:$D$504,1),SUMIFS('Market Data'!$E$5:$E$504,'Market Data'!$A$5:$A$504,I105,'Market Data'!$B$5:$B$504,E105,'Market Data'!$D$5:$D$504,1))))</x:f>
      </x:c>
      <x:c r="M105" s="73" t="str">
        <x:f>IF(A105="","",L105*(1+IF(J105="Buy Order",Settings!$B$16,0)))</x:f>
      </x:c>
      <x:c r="N105" s="73" t="str">
        <x:f>IF(A105="","",G105*M105)</x:f>
      </x:c>
    </x:row>
    <x:row r="106">
      <x:c r="A106" s="42"/>
      <x:c r="B106" s="42"/>
      <x:c r="C106" s="42"/>
      <x:c r="D106" s="42"/>
      <x:c r="E106" s="42"/>
      <x:c r="F106" s="42"/>
      <x:c r="G106" s="70"/>
      <x:c r="H106" s="42"/>
      <x:c r="I106" s="42"/>
      <x:c r="J106" s="42"/>
      <x:c r="K106" s="72"/>
      <x:c r="L106" s="73" t="str">
        <x:f>IF(A106="","",IF(K106&gt;0,K106,IF(J106="Buy Order",SUMIFS('Market Data'!$F$5:$F$504,'Market Data'!$A$5:$A$504,I106,'Market Data'!$B$5:$B$504,E106,'Market Data'!$D$5:$D$504,1),SUMIFS('Market Data'!$E$5:$E$504,'Market Data'!$A$5:$A$504,I106,'Market Data'!$B$5:$B$504,E106,'Market Data'!$D$5:$D$504,1))))</x:f>
      </x:c>
      <x:c r="M106" s="73" t="str">
        <x:f>IF(A106="","",L106*(1+IF(J106="Buy Order",Settings!$B$16,0)))</x:f>
      </x:c>
      <x:c r="N106" s="73" t="str">
        <x:f>IF(A106="","",G106*M106)</x:f>
      </x:c>
    </x:row>
    <x:row r="107">
      <x:c r="A107" s="42"/>
      <x:c r="B107" s="42"/>
      <x:c r="C107" s="42"/>
      <x:c r="D107" s="42"/>
      <x:c r="E107" s="42"/>
      <x:c r="F107" s="42"/>
      <x:c r="G107" s="70"/>
      <x:c r="H107" s="42"/>
      <x:c r="I107" s="42"/>
      <x:c r="J107" s="42"/>
      <x:c r="K107" s="72"/>
      <x:c r="L107" s="73" t="str">
        <x:f>IF(A107="","",IF(K107&gt;0,K107,IF(J107="Buy Order",SUMIFS('Market Data'!$F$5:$F$504,'Market Data'!$A$5:$A$504,I107,'Market Data'!$B$5:$B$504,E107,'Market Data'!$D$5:$D$504,1),SUMIFS('Market Data'!$E$5:$E$504,'Market Data'!$A$5:$A$504,I107,'Market Data'!$B$5:$B$504,E107,'Market Data'!$D$5:$D$504,1))))</x:f>
      </x:c>
      <x:c r="M107" s="73" t="str">
        <x:f>IF(A107="","",L107*(1+IF(J107="Buy Order",Settings!$B$16,0)))</x:f>
      </x:c>
      <x:c r="N107" s="73" t="str">
        <x:f>IF(A107="","",G107*M107)</x:f>
      </x:c>
    </x:row>
    <x:row r="108">
      <x:c r="A108" s="42"/>
      <x:c r="B108" s="42"/>
      <x:c r="C108" s="42"/>
      <x:c r="D108" s="42"/>
      <x:c r="E108" s="42"/>
      <x:c r="F108" s="42"/>
      <x:c r="G108" s="70"/>
      <x:c r="H108" s="42"/>
      <x:c r="I108" s="42"/>
      <x:c r="J108" s="42"/>
      <x:c r="K108" s="72"/>
      <x:c r="L108" s="73" t="str">
        <x:f>IF(A108="","",IF(K108&gt;0,K108,IF(J108="Buy Order",SUMIFS('Market Data'!$F$5:$F$504,'Market Data'!$A$5:$A$504,I108,'Market Data'!$B$5:$B$504,E108,'Market Data'!$D$5:$D$504,1),SUMIFS('Market Data'!$E$5:$E$504,'Market Data'!$A$5:$A$504,I108,'Market Data'!$B$5:$B$504,E108,'Market Data'!$D$5:$D$504,1))))</x:f>
      </x:c>
      <x:c r="M108" s="73" t="str">
        <x:f>IF(A108="","",L108*(1+IF(J108="Buy Order",Settings!$B$16,0)))</x:f>
      </x:c>
      <x:c r="N108" s="73" t="str">
        <x:f>IF(A108="","",G108*M108)</x:f>
      </x:c>
    </x:row>
    <x:row r="109">
      <x:c r="A109" s="42"/>
      <x:c r="B109" s="42"/>
      <x:c r="C109" s="42"/>
      <x:c r="D109" s="42"/>
      <x:c r="E109" s="42"/>
      <x:c r="F109" s="42"/>
      <x:c r="G109" s="70"/>
      <x:c r="H109" s="42"/>
      <x:c r="I109" s="42"/>
      <x:c r="J109" s="42"/>
      <x:c r="K109" s="72"/>
      <x:c r="L109" s="73" t="str">
        <x:f>IF(A109="","",IF(K109&gt;0,K109,IF(J109="Buy Order",SUMIFS('Market Data'!$F$5:$F$504,'Market Data'!$A$5:$A$504,I109,'Market Data'!$B$5:$B$504,E109,'Market Data'!$D$5:$D$504,1),SUMIFS('Market Data'!$E$5:$E$504,'Market Data'!$A$5:$A$504,I109,'Market Data'!$B$5:$B$504,E109,'Market Data'!$D$5:$D$504,1))))</x:f>
      </x:c>
      <x:c r="M109" s="73" t="str">
        <x:f>IF(A109="","",L109*(1+IF(J109="Buy Order",Settings!$B$16,0)))</x:f>
      </x:c>
      <x:c r="N109" s="73" t="str">
        <x:f>IF(A109="","",G109*M109)</x:f>
      </x:c>
    </x:row>
    <x:row r="110">
      <x:c r="A110" s="42"/>
      <x:c r="B110" s="42"/>
      <x:c r="C110" s="42"/>
      <x:c r="D110" s="42"/>
      <x:c r="E110" s="42"/>
      <x:c r="F110" s="42"/>
      <x:c r="G110" s="70"/>
      <x:c r="H110" s="42"/>
      <x:c r="I110" s="42"/>
      <x:c r="J110" s="42"/>
      <x:c r="K110" s="72"/>
      <x:c r="L110" s="73" t="str">
        <x:f>IF(A110="","",IF(K110&gt;0,K110,IF(J110="Buy Order",SUMIFS('Market Data'!$F$5:$F$504,'Market Data'!$A$5:$A$504,I110,'Market Data'!$B$5:$B$504,E110,'Market Data'!$D$5:$D$504,1),SUMIFS('Market Data'!$E$5:$E$504,'Market Data'!$A$5:$A$504,I110,'Market Data'!$B$5:$B$504,E110,'Market Data'!$D$5:$D$504,1))))</x:f>
      </x:c>
      <x:c r="M110" s="73" t="str">
        <x:f>IF(A110="","",L110*(1+IF(J110="Buy Order",Settings!$B$16,0)))</x:f>
      </x:c>
      <x:c r="N110" s="73" t="str">
        <x:f>IF(A110="","",G110*M110)</x:f>
      </x:c>
    </x:row>
    <x:row r="111">
      <x:c r="A111" s="42"/>
      <x:c r="B111" s="42"/>
      <x:c r="C111" s="42"/>
      <x:c r="D111" s="42"/>
      <x:c r="E111" s="42"/>
      <x:c r="F111" s="42"/>
      <x:c r="G111" s="70"/>
      <x:c r="H111" s="42"/>
      <x:c r="I111" s="42"/>
      <x:c r="J111" s="42"/>
      <x:c r="K111" s="72"/>
      <x:c r="L111" s="73" t="str">
        <x:f>IF(A111="","",IF(K111&gt;0,K111,IF(J111="Buy Order",SUMIFS('Market Data'!$F$5:$F$504,'Market Data'!$A$5:$A$504,I111,'Market Data'!$B$5:$B$504,E111,'Market Data'!$D$5:$D$504,1),SUMIFS('Market Data'!$E$5:$E$504,'Market Data'!$A$5:$A$504,I111,'Market Data'!$B$5:$B$504,E111,'Market Data'!$D$5:$D$504,1))))</x:f>
      </x:c>
      <x:c r="M111" s="73" t="str">
        <x:f>IF(A111="","",L111*(1+IF(J111="Buy Order",Settings!$B$16,0)))</x:f>
      </x:c>
      <x:c r="N111" s="73" t="str">
        <x:f>IF(A111="","",G111*M111)</x:f>
      </x:c>
    </x:row>
    <x:row r="112">
      <x:c r="A112" s="42"/>
      <x:c r="B112" s="42"/>
      <x:c r="C112" s="42"/>
      <x:c r="D112" s="42"/>
      <x:c r="E112" s="42"/>
      <x:c r="F112" s="42"/>
      <x:c r="G112" s="70"/>
      <x:c r="H112" s="42"/>
      <x:c r="I112" s="42"/>
      <x:c r="J112" s="42"/>
      <x:c r="K112" s="72"/>
      <x:c r="L112" s="73" t="str">
        <x:f>IF(A112="","",IF(K112&gt;0,K112,IF(J112="Buy Order",SUMIFS('Market Data'!$F$5:$F$504,'Market Data'!$A$5:$A$504,I112,'Market Data'!$B$5:$B$504,E112,'Market Data'!$D$5:$D$504,1),SUMIFS('Market Data'!$E$5:$E$504,'Market Data'!$A$5:$A$504,I112,'Market Data'!$B$5:$B$504,E112,'Market Data'!$D$5:$D$504,1))))</x:f>
      </x:c>
      <x:c r="M112" s="73" t="str">
        <x:f>IF(A112="","",L112*(1+IF(J112="Buy Order",Settings!$B$16,0)))</x:f>
      </x:c>
      <x:c r="N112" s="73" t="str">
        <x:f>IF(A112="","",G112*M112)</x:f>
      </x:c>
    </x:row>
    <x:row r="113">
      <x:c r="A113" s="42"/>
      <x:c r="B113" s="42"/>
      <x:c r="C113" s="42"/>
      <x:c r="D113" s="42"/>
      <x:c r="E113" s="42"/>
      <x:c r="F113" s="42"/>
      <x:c r="G113" s="70"/>
      <x:c r="H113" s="42"/>
      <x:c r="I113" s="42"/>
      <x:c r="J113" s="42"/>
      <x:c r="K113" s="72"/>
      <x:c r="L113" s="73" t="str">
        <x:f>IF(A113="","",IF(K113&gt;0,K113,IF(J113="Buy Order",SUMIFS('Market Data'!$F$5:$F$504,'Market Data'!$A$5:$A$504,I113,'Market Data'!$B$5:$B$504,E113,'Market Data'!$D$5:$D$504,1),SUMIFS('Market Data'!$E$5:$E$504,'Market Data'!$A$5:$A$504,I113,'Market Data'!$B$5:$B$504,E113,'Market Data'!$D$5:$D$504,1))))</x:f>
      </x:c>
      <x:c r="M113" s="73" t="str">
        <x:f>IF(A113="","",L113*(1+IF(J113="Buy Order",Settings!$B$16,0)))</x:f>
      </x:c>
      <x:c r="N113" s="73" t="str">
        <x:f>IF(A113="","",G113*M113)</x:f>
      </x:c>
    </x:row>
    <x:row r="114">
      <x:c r="A114" s="42"/>
      <x:c r="B114" s="42"/>
      <x:c r="C114" s="42"/>
      <x:c r="D114" s="42"/>
      <x:c r="E114" s="42"/>
      <x:c r="F114" s="42"/>
      <x:c r="G114" s="70"/>
      <x:c r="H114" s="42"/>
      <x:c r="I114" s="42"/>
      <x:c r="J114" s="42"/>
      <x:c r="K114" s="72"/>
      <x:c r="L114" s="73" t="str">
        <x:f>IF(A114="","",IF(K114&gt;0,K114,IF(J114="Buy Order",SUMIFS('Market Data'!$F$5:$F$504,'Market Data'!$A$5:$A$504,I114,'Market Data'!$B$5:$B$504,E114,'Market Data'!$D$5:$D$504,1),SUMIFS('Market Data'!$E$5:$E$504,'Market Data'!$A$5:$A$504,I114,'Market Data'!$B$5:$B$504,E114,'Market Data'!$D$5:$D$504,1))))</x:f>
      </x:c>
      <x:c r="M114" s="73" t="str">
        <x:f>IF(A114="","",L114*(1+IF(J114="Buy Order",Settings!$B$16,0)))</x:f>
      </x:c>
      <x:c r="N114" s="73" t="str">
        <x:f>IF(A114="","",G114*M114)</x:f>
      </x:c>
    </x:row>
    <x:row r="115">
      <x:c r="A115" s="42"/>
      <x:c r="B115" s="42"/>
      <x:c r="C115" s="42"/>
      <x:c r="D115" s="42"/>
      <x:c r="E115" s="42"/>
      <x:c r="F115" s="42"/>
      <x:c r="G115" s="70"/>
      <x:c r="H115" s="42"/>
      <x:c r="I115" s="42"/>
      <x:c r="J115" s="42"/>
      <x:c r="K115" s="72"/>
      <x:c r="L115" s="73" t="str">
        <x:f>IF(A115="","",IF(K115&gt;0,K115,IF(J115="Buy Order",SUMIFS('Market Data'!$F$5:$F$504,'Market Data'!$A$5:$A$504,I115,'Market Data'!$B$5:$B$504,E115,'Market Data'!$D$5:$D$504,1),SUMIFS('Market Data'!$E$5:$E$504,'Market Data'!$A$5:$A$504,I115,'Market Data'!$B$5:$B$504,E115,'Market Data'!$D$5:$D$504,1))))</x:f>
      </x:c>
      <x:c r="M115" s="73" t="str">
        <x:f>IF(A115="","",L115*(1+IF(J115="Buy Order",Settings!$B$16,0)))</x:f>
      </x:c>
      <x:c r="N115" s="73" t="str">
        <x:f>IF(A115="","",G115*M115)</x:f>
      </x:c>
    </x:row>
    <x:row r="116">
      <x:c r="A116" s="42"/>
      <x:c r="B116" s="42"/>
      <x:c r="C116" s="42"/>
      <x:c r="D116" s="42"/>
      <x:c r="E116" s="42"/>
      <x:c r="F116" s="42"/>
      <x:c r="G116" s="70"/>
      <x:c r="H116" s="42"/>
      <x:c r="I116" s="42"/>
      <x:c r="J116" s="42"/>
      <x:c r="K116" s="72"/>
      <x:c r="L116" s="73" t="str">
        <x:f>IF(A116="","",IF(K116&gt;0,K116,IF(J116="Buy Order",SUMIFS('Market Data'!$F$5:$F$504,'Market Data'!$A$5:$A$504,I116,'Market Data'!$B$5:$B$504,E116,'Market Data'!$D$5:$D$504,1),SUMIFS('Market Data'!$E$5:$E$504,'Market Data'!$A$5:$A$504,I116,'Market Data'!$B$5:$B$504,E116,'Market Data'!$D$5:$D$504,1))))</x:f>
      </x:c>
      <x:c r="M116" s="73" t="str">
        <x:f>IF(A116="","",L116*(1+IF(J116="Buy Order",Settings!$B$16,0)))</x:f>
      </x:c>
      <x:c r="N116" s="73" t="str">
        <x:f>IF(A116="","",G116*M116)</x:f>
      </x:c>
    </x:row>
    <x:row r="117">
      <x:c r="A117" s="42"/>
      <x:c r="B117" s="42"/>
      <x:c r="C117" s="42"/>
      <x:c r="D117" s="42"/>
      <x:c r="E117" s="42"/>
      <x:c r="F117" s="42"/>
      <x:c r="G117" s="70"/>
      <x:c r="H117" s="42"/>
      <x:c r="I117" s="42"/>
      <x:c r="J117" s="42"/>
      <x:c r="K117" s="72"/>
      <x:c r="L117" s="73" t="str">
        <x:f>IF(A117="","",IF(K117&gt;0,K117,IF(J117="Buy Order",SUMIFS('Market Data'!$F$5:$F$504,'Market Data'!$A$5:$A$504,I117,'Market Data'!$B$5:$B$504,E117,'Market Data'!$D$5:$D$504,1),SUMIFS('Market Data'!$E$5:$E$504,'Market Data'!$A$5:$A$504,I117,'Market Data'!$B$5:$B$504,E117,'Market Data'!$D$5:$D$504,1))))</x:f>
      </x:c>
      <x:c r="M117" s="73" t="str">
        <x:f>IF(A117="","",L117*(1+IF(J117="Buy Order",Settings!$B$16,0)))</x:f>
      </x:c>
      <x:c r="N117" s="73" t="str">
        <x:f>IF(A117="","",G117*M117)</x:f>
      </x:c>
    </x:row>
    <x:row r="118">
      <x:c r="A118" s="42"/>
      <x:c r="B118" s="42"/>
      <x:c r="C118" s="42"/>
      <x:c r="D118" s="42"/>
      <x:c r="E118" s="42"/>
      <x:c r="F118" s="42"/>
      <x:c r="G118" s="70"/>
      <x:c r="H118" s="42"/>
      <x:c r="I118" s="42"/>
      <x:c r="J118" s="42"/>
      <x:c r="K118" s="72"/>
      <x:c r="L118" s="73" t="str">
        <x:f>IF(A118="","",IF(K118&gt;0,K118,IF(J118="Buy Order",SUMIFS('Market Data'!$F$5:$F$504,'Market Data'!$A$5:$A$504,I118,'Market Data'!$B$5:$B$504,E118,'Market Data'!$D$5:$D$504,1),SUMIFS('Market Data'!$E$5:$E$504,'Market Data'!$A$5:$A$504,I118,'Market Data'!$B$5:$B$504,E118,'Market Data'!$D$5:$D$504,1))))</x:f>
      </x:c>
      <x:c r="M118" s="73" t="str">
        <x:f>IF(A118="","",L118*(1+IF(J118="Buy Order",Settings!$B$16,0)))</x:f>
      </x:c>
      <x:c r="N118" s="73" t="str">
        <x:f>IF(A118="","",G118*M118)</x:f>
      </x:c>
    </x:row>
    <x:row r="119">
      <x:c r="A119" s="42"/>
      <x:c r="B119" s="42"/>
      <x:c r="C119" s="42"/>
      <x:c r="D119" s="42"/>
      <x:c r="E119" s="42"/>
      <x:c r="F119" s="42"/>
      <x:c r="G119" s="70"/>
      <x:c r="H119" s="42"/>
      <x:c r="I119" s="42"/>
      <x:c r="J119" s="42"/>
      <x:c r="K119" s="72"/>
      <x:c r="L119" s="73" t="str">
        <x:f>IF(A119="","",IF(K119&gt;0,K119,IF(J119="Buy Order",SUMIFS('Market Data'!$F$5:$F$504,'Market Data'!$A$5:$A$504,I119,'Market Data'!$B$5:$B$504,E119,'Market Data'!$D$5:$D$504,1),SUMIFS('Market Data'!$E$5:$E$504,'Market Data'!$A$5:$A$504,I119,'Market Data'!$B$5:$B$504,E119,'Market Data'!$D$5:$D$504,1))))</x:f>
      </x:c>
      <x:c r="M119" s="73" t="str">
        <x:f>IF(A119="","",L119*(1+IF(J119="Buy Order",Settings!$B$16,0)))</x:f>
      </x:c>
      <x:c r="N119" s="73" t="str">
        <x:f>IF(A119="","",G119*M119)</x:f>
      </x:c>
    </x:row>
    <x:row r="120">
      <x:c r="A120" s="42"/>
      <x:c r="B120" s="42"/>
      <x:c r="C120" s="42"/>
      <x:c r="D120" s="42"/>
      <x:c r="E120" s="42"/>
      <x:c r="F120" s="42"/>
      <x:c r="G120" s="70"/>
      <x:c r="H120" s="42"/>
      <x:c r="I120" s="42"/>
      <x:c r="J120" s="42"/>
      <x:c r="K120" s="72"/>
      <x:c r="L120" s="73" t="str">
        <x:f>IF(A120="","",IF(K120&gt;0,K120,IF(J120="Buy Order",SUMIFS('Market Data'!$F$5:$F$504,'Market Data'!$A$5:$A$504,I120,'Market Data'!$B$5:$B$504,E120,'Market Data'!$D$5:$D$504,1),SUMIFS('Market Data'!$E$5:$E$504,'Market Data'!$A$5:$A$504,I120,'Market Data'!$B$5:$B$504,E120,'Market Data'!$D$5:$D$504,1))))</x:f>
      </x:c>
      <x:c r="M120" s="73" t="str">
        <x:f>IF(A120="","",L120*(1+IF(J120="Buy Order",Settings!$B$16,0)))</x:f>
      </x:c>
      <x:c r="N120" s="73" t="str">
        <x:f>IF(A120="","",G120*M120)</x:f>
      </x:c>
    </x:row>
    <x:row r="121">
      <x:c r="A121" s="42"/>
      <x:c r="B121" s="42"/>
      <x:c r="C121" s="42"/>
      <x:c r="D121" s="42"/>
      <x:c r="E121" s="42"/>
      <x:c r="F121" s="42"/>
      <x:c r="G121" s="70"/>
      <x:c r="H121" s="42"/>
      <x:c r="I121" s="42"/>
      <x:c r="J121" s="42"/>
      <x:c r="K121" s="72"/>
      <x:c r="L121" s="73" t="str">
        <x:f>IF(A121="","",IF(K121&gt;0,K121,IF(J121="Buy Order",SUMIFS('Market Data'!$F$5:$F$504,'Market Data'!$A$5:$A$504,I121,'Market Data'!$B$5:$B$504,E121,'Market Data'!$D$5:$D$504,1),SUMIFS('Market Data'!$E$5:$E$504,'Market Data'!$A$5:$A$504,I121,'Market Data'!$B$5:$B$504,E121,'Market Data'!$D$5:$D$504,1))))</x:f>
      </x:c>
      <x:c r="M121" s="73" t="str">
        <x:f>IF(A121="","",L121*(1+IF(J121="Buy Order",Settings!$B$16,0)))</x:f>
      </x:c>
      <x:c r="N121" s="73" t="str">
        <x:f>IF(A121="","",G121*M121)</x:f>
      </x:c>
    </x:row>
    <x:row r="122">
      <x:c r="A122" s="42"/>
      <x:c r="B122" s="42"/>
      <x:c r="C122" s="42"/>
      <x:c r="D122" s="42"/>
      <x:c r="E122" s="42"/>
      <x:c r="F122" s="42"/>
      <x:c r="G122" s="70"/>
      <x:c r="H122" s="42"/>
      <x:c r="I122" s="42"/>
      <x:c r="J122" s="42"/>
      <x:c r="K122" s="72"/>
      <x:c r="L122" s="73" t="str">
        <x:f>IF(A122="","",IF(K122&gt;0,K122,IF(J122="Buy Order",SUMIFS('Market Data'!$F$5:$F$504,'Market Data'!$A$5:$A$504,I122,'Market Data'!$B$5:$B$504,E122,'Market Data'!$D$5:$D$504,1),SUMIFS('Market Data'!$E$5:$E$504,'Market Data'!$A$5:$A$504,I122,'Market Data'!$B$5:$B$504,E122,'Market Data'!$D$5:$D$504,1))))</x:f>
      </x:c>
      <x:c r="M122" s="73" t="str">
        <x:f>IF(A122="","",L122*(1+IF(J122="Buy Order",Settings!$B$16,0)))</x:f>
      </x:c>
      <x:c r="N122" s="73" t="str">
        <x:f>IF(A122="","",G122*M122)</x:f>
      </x:c>
    </x:row>
    <x:row r="123">
      <x:c r="A123" s="42"/>
      <x:c r="B123" s="42"/>
      <x:c r="C123" s="42"/>
      <x:c r="D123" s="42"/>
      <x:c r="E123" s="42"/>
      <x:c r="F123" s="42"/>
      <x:c r="G123" s="70"/>
      <x:c r="H123" s="42"/>
      <x:c r="I123" s="42"/>
      <x:c r="J123" s="42"/>
      <x:c r="K123" s="72"/>
      <x:c r="L123" s="73" t="str">
        <x:f>IF(A123="","",IF(K123&gt;0,K123,IF(J123="Buy Order",SUMIFS('Market Data'!$F$5:$F$504,'Market Data'!$A$5:$A$504,I123,'Market Data'!$B$5:$B$504,E123,'Market Data'!$D$5:$D$504,1),SUMIFS('Market Data'!$E$5:$E$504,'Market Data'!$A$5:$A$504,I123,'Market Data'!$B$5:$B$504,E123,'Market Data'!$D$5:$D$504,1))))</x:f>
      </x:c>
      <x:c r="M123" s="73" t="str">
        <x:f>IF(A123="","",L123*(1+IF(J123="Buy Order",Settings!$B$16,0)))</x:f>
      </x:c>
      <x:c r="N123" s="73" t="str">
        <x:f>IF(A123="","",G123*M123)</x:f>
      </x:c>
    </x:row>
    <x:row r="124">
      <x:c r="A124" s="42"/>
      <x:c r="B124" s="42"/>
      <x:c r="C124" s="42"/>
      <x:c r="D124" s="42"/>
      <x:c r="E124" s="42"/>
      <x:c r="F124" s="42"/>
      <x:c r="G124" s="70"/>
      <x:c r="H124" s="42"/>
      <x:c r="I124" s="42"/>
      <x:c r="J124" s="42"/>
      <x:c r="K124" s="72"/>
      <x:c r="L124" s="73" t="str">
        <x:f>IF(A124="","",IF(K124&gt;0,K124,IF(J124="Buy Order",SUMIFS('Market Data'!$F$5:$F$504,'Market Data'!$A$5:$A$504,I124,'Market Data'!$B$5:$B$504,E124,'Market Data'!$D$5:$D$504,1),SUMIFS('Market Data'!$E$5:$E$504,'Market Data'!$A$5:$A$504,I124,'Market Data'!$B$5:$B$504,E124,'Market Data'!$D$5:$D$504,1))))</x:f>
      </x:c>
      <x:c r="M124" s="73" t="str">
        <x:f>IF(A124="","",L124*(1+IF(J124="Buy Order",Settings!$B$16,0)))</x:f>
      </x:c>
      <x:c r="N124" s="73" t="str">
        <x:f>IF(A124="","",G124*M124)</x:f>
      </x:c>
    </x:row>
    <x:row r="125">
      <x:c r="A125" s="42"/>
      <x:c r="B125" s="42"/>
      <x:c r="C125" s="42"/>
      <x:c r="D125" s="42"/>
      <x:c r="E125" s="42"/>
      <x:c r="F125" s="42"/>
      <x:c r="G125" s="70"/>
      <x:c r="H125" s="42"/>
      <x:c r="I125" s="42"/>
      <x:c r="J125" s="42"/>
      <x:c r="K125" s="72"/>
      <x:c r="L125" s="73" t="str">
        <x:f>IF(A125="","",IF(K125&gt;0,K125,IF(J125="Buy Order",SUMIFS('Market Data'!$F$5:$F$504,'Market Data'!$A$5:$A$504,I125,'Market Data'!$B$5:$B$504,E125,'Market Data'!$D$5:$D$504,1),SUMIFS('Market Data'!$E$5:$E$504,'Market Data'!$A$5:$A$504,I125,'Market Data'!$B$5:$B$504,E125,'Market Data'!$D$5:$D$504,1))))</x:f>
      </x:c>
      <x:c r="M125" s="73" t="str">
        <x:f>IF(A125="","",L125*(1+IF(J125="Buy Order",Settings!$B$16,0)))</x:f>
      </x:c>
      <x:c r="N125" s="73" t="str">
        <x:f>IF(A125="","",G125*M125)</x:f>
      </x:c>
    </x:row>
    <x:row r="126">
      <x:c r="A126" s="42"/>
      <x:c r="B126" s="42"/>
      <x:c r="C126" s="42"/>
      <x:c r="D126" s="42"/>
      <x:c r="E126" s="42"/>
      <x:c r="F126" s="42"/>
      <x:c r="G126" s="70"/>
      <x:c r="H126" s="42"/>
      <x:c r="I126" s="42"/>
      <x:c r="J126" s="42"/>
      <x:c r="K126" s="72"/>
      <x:c r="L126" s="73" t="str">
        <x:f>IF(A126="","",IF(K126&gt;0,K126,IF(J126="Buy Order",SUMIFS('Market Data'!$F$5:$F$504,'Market Data'!$A$5:$A$504,I126,'Market Data'!$B$5:$B$504,E126,'Market Data'!$D$5:$D$504,1),SUMIFS('Market Data'!$E$5:$E$504,'Market Data'!$A$5:$A$504,I126,'Market Data'!$B$5:$B$504,E126,'Market Data'!$D$5:$D$504,1))))</x:f>
      </x:c>
      <x:c r="M126" s="73" t="str">
        <x:f>IF(A126="","",L126*(1+IF(J126="Buy Order",Settings!$B$16,0)))</x:f>
      </x:c>
      <x:c r="N126" s="73" t="str">
        <x:f>IF(A126="","",G126*M126)</x:f>
      </x:c>
    </x:row>
    <x:row r="127">
      <x:c r="A127" s="42"/>
      <x:c r="B127" s="42"/>
      <x:c r="C127" s="42"/>
      <x:c r="D127" s="42"/>
      <x:c r="E127" s="42"/>
      <x:c r="F127" s="42"/>
      <x:c r="G127" s="70"/>
      <x:c r="H127" s="42"/>
      <x:c r="I127" s="42"/>
      <x:c r="J127" s="42"/>
      <x:c r="K127" s="72"/>
      <x:c r="L127" s="73" t="str">
        <x:f>IF(A127="","",IF(K127&gt;0,K127,IF(J127="Buy Order",SUMIFS('Market Data'!$F$5:$F$504,'Market Data'!$A$5:$A$504,I127,'Market Data'!$B$5:$B$504,E127,'Market Data'!$D$5:$D$504,1),SUMIFS('Market Data'!$E$5:$E$504,'Market Data'!$A$5:$A$504,I127,'Market Data'!$B$5:$B$504,E127,'Market Data'!$D$5:$D$504,1))))</x:f>
      </x:c>
      <x:c r="M127" s="73" t="str">
        <x:f>IF(A127="","",L127*(1+IF(J127="Buy Order",Settings!$B$16,0)))</x:f>
      </x:c>
      <x:c r="N127" s="73" t="str">
        <x:f>IF(A127="","",G127*M127)</x:f>
      </x:c>
    </x:row>
    <x:row r="128">
      <x:c r="A128" s="42"/>
      <x:c r="B128" s="42"/>
      <x:c r="C128" s="42"/>
      <x:c r="D128" s="42"/>
      <x:c r="E128" s="42"/>
      <x:c r="F128" s="42"/>
      <x:c r="G128" s="70"/>
      <x:c r="H128" s="42"/>
      <x:c r="I128" s="42"/>
      <x:c r="J128" s="42"/>
      <x:c r="K128" s="72"/>
      <x:c r="L128" s="73" t="str">
        <x:f>IF(A128="","",IF(K128&gt;0,K128,IF(J128="Buy Order",SUMIFS('Market Data'!$F$5:$F$504,'Market Data'!$A$5:$A$504,I128,'Market Data'!$B$5:$B$504,E128,'Market Data'!$D$5:$D$504,1),SUMIFS('Market Data'!$E$5:$E$504,'Market Data'!$A$5:$A$504,I128,'Market Data'!$B$5:$B$504,E128,'Market Data'!$D$5:$D$504,1))))</x:f>
      </x:c>
      <x:c r="M128" s="73" t="str">
        <x:f>IF(A128="","",L128*(1+IF(J128="Buy Order",Settings!$B$16,0)))</x:f>
      </x:c>
      <x:c r="N128" s="73" t="str">
        <x:f>IF(A128="","",G128*M128)</x:f>
      </x:c>
    </x:row>
    <x:row r="129">
      <x:c r="A129" s="42"/>
      <x:c r="B129" s="42"/>
      <x:c r="C129" s="42"/>
      <x:c r="D129" s="42"/>
      <x:c r="E129" s="42"/>
      <x:c r="F129" s="42"/>
      <x:c r="G129" s="70"/>
      <x:c r="H129" s="42"/>
      <x:c r="I129" s="42"/>
      <x:c r="J129" s="42"/>
      <x:c r="K129" s="72"/>
      <x:c r="L129" s="73" t="str">
        <x:f>IF(A129="","",IF(K129&gt;0,K129,IF(J129="Buy Order",SUMIFS('Market Data'!$F$5:$F$504,'Market Data'!$A$5:$A$504,I129,'Market Data'!$B$5:$B$504,E129,'Market Data'!$D$5:$D$504,1),SUMIFS('Market Data'!$E$5:$E$504,'Market Data'!$A$5:$A$504,I129,'Market Data'!$B$5:$B$504,E129,'Market Data'!$D$5:$D$504,1))))</x:f>
      </x:c>
      <x:c r="M129" s="73" t="str">
        <x:f>IF(A129="","",L129*(1+IF(J129="Buy Order",Settings!$B$16,0)))</x:f>
      </x:c>
      <x:c r="N129" s="73" t="str">
        <x:f>IF(A129="","",G129*M129)</x:f>
      </x:c>
    </x:row>
    <x:row r="130">
      <x:c r="A130" s="42"/>
      <x:c r="B130" s="42"/>
      <x:c r="C130" s="42"/>
      <x:c r="D130" s="42"/>
      <x:c r="E130" s="42"/>
      <x:c r="F130" s="42"/>
      <x:c r="G130" s="70"/>
      <x:c r="H130" s="42"/>
      <x:c r="I130" s="42"/>
      <x:c r="J130" s="42"/>
      <x:c r="K130" s="72"/>
      <x:c r="L130" s="73" t="str">
        <x:f>IF(A130="","",IF(K130&gt;0,K130,IF(J130="Buy Order",SUMIFS('Market Data'!$F$5:$F$504,'Market Data'!$A$5:$A$504,I130,'Market Data'!$B$5:$B$504,E130,'Market Data'!$D$5:$D$504,1),SUMIFS('Market Data'!$E$5:$E$504,'Market Data'!$A$5:$A$504,I130,'Market Data'!$B$5:$B$504,E130,'Market Data'!$D$5:$D$504,1))))</x:f>
      </x:c>
      <x:c r="M130" s="73" t="str">
        <x:f>IF(A130="","",L130*(1+IF(J130="Buy Order",Settings!$B$16,0)))</x:f>
      </x:c>
      <x:c r="N130" s="73" t="str">
        <x:f>IF(A130="","",G130*M130)</x:f>
      </x:c>
    </x:row>
    <x:row r="131">
      <x:c r="A131" s="42"/>
      <x:c r="B131" s="42"/>
      <x:c r="C131" s="42"/>
      <x:c r="D131" s="42"/>
      <x:c r="E131" s="42"/>
      <x:c r="F131" s="42"/>
      <x:c r="G131" s="70"/>
      <x:c r="H131" s="42"/>
      <x:c r="I131" s="42"/>
      <x:c r="J131" s="42"/>
      <x:c r="K131" s="72"/>
      <x:c r="L131" s="73" t="str">
        <x:f>IF(A131="","",IF(K131&gt;0,K131,IF(J131="Buy Order",SUMIFS('Market Data'!$F$5:$F$504,'Market Data'!$A$5:$A$504,I131,'Market Data'!$B$5:$B$504,E131,'Market Data'!$D$5:$D$504,1),SUMIFS('Market Data'!$E$5:$E$504,'Market Data'!$A$5:$A$504,I131,'Market Data'!$B$5:$B$504,E131,'Market Data'!$D$5:$D$504,1))))</x:f>
      </x:c>
      <x:c r="M131" s="73" t="str">
        <x:f>IF(A131="","",L131*(1+IF(J131="Buy Order",Settings!$B$16,0)))</x:f>
      </x:c>
      <x:c r="N131" s="73" t="str">
        <x:f>IF(A131="","",G131*M131)</x:f>
      </x:c>
    </x:row>
    <x:row r="132">
      <x:c r="A132" s="42"/>
      <x:c r="B132" s="42"/>
      <x:c r="C132" s="42"/>
      <x:c r="D132" s="42"/>
      <x:c r="E132" s="42"/>
      <x:c r="F132" s="42"/>
      <x:c r="G132" s="70"/>
      <x:c r="H132" s="42"/>
      <x:c r="I132" s="42"/>
      <x:c r="J132" s="42"/>
      <x:c r="K132" s="72"/>
      <x:c r="L132" s="73" t="str">
        <x:f>IF(A132="","",IF(K132&gt;0,K132,IF(J132="Buy Order",SUMIFS('Market Data'!$F$5:$F$504,'Market Data'!$A$5:$A$504,I132,'Market Data'!$B$5:$B$504,E132,'Market Data'!$D$5:$D$504,1),SUMIFS('Market Data'!$E$5:$E$504,'Market Data'!$A$5:$A$504,I132,'Market Data'!$B$5:$B$504,E132,'Market Data'!$D$5:$D$504,1))))</x:f>
      </x:c>
      <x:c r="M132" s="73" t="str">
        <x:f>IF(A132="","",L132*(1+IF(J132="Buy Order",Settings!$B$16,0)))</x:f>
      </x:c>
      <x:c r="N132" s="73" t="str">
        <x:f>IF(A132="","",G132*M132)</x:f>
      </x:c>
    </x:row>
    <x:row r="133">
      <x:c r="A133" s="42"/>
      <x:c r="B133" s="42"/>
      <x:c r="C133" s="42"/>
      <x:c r="D133" s="42"/>
      <x:c r="E133" s="42"/>
      <x:c r="F133" s="42"/>
      <x:c r="G133" s="70"/>
      <x:c r="H133" s="42"/>
      <x:c r="I133" s="42"/>
      <x:c r="J133" s="42"/>
      <x:c r="K133" s="72"/>
      <x:c r="L133" s="73" t="str">
        <x:f>IF(A133="","",IF(K133&gt;0,K133,IF(J133="Buy Order",SUMIFS('Market Data'!$F$5:$F$504,'Market Data'!$A$5:$A$504,I133,'Market Data'!$B$5:$B$504,E133,'Market Data'!$D$5:$D$504,1),SUMIFS('Market Data'!$E$5:$E$504,'Market Data'!$A$5:$A$504,I133,'Market Data'!$B$5:$B$504,E133,'Market Data'!$D$5:$D$504,1))))</x:f>
      </x:c>
      <x:c r="M133" s="73" t="str">
        <x:f>IF(A133="","",L133*(1+IF(J133="Buy Order",Settings!$B$16,0)))</x:f>
      </x:c>
      <x:c r="N133" s="73" t="str">
        <x:f>IF(A133="","",G133*M133)</x:f>
      </x:c>
    </x:row>
    <x:row r="134">
      <x:c r="A134" s="42"/>
      <x:c r="B134" s="42"/>
      <x:c r="C134" s="42"/>
      <x:c r="D134" s="42"/>
      <x:c r="E134" s="42"/>
      <x:c r="F134" s="42"/>
      <x:c r="G134" s="70"/>
      <x:c r="H134" s="42"/>
      <x:c r="I134" s="42"/>
      <x:c r="J134" s="42"/>
      <x:c r="K134" s="72"/>
      <x:c r="L134" s="73" t="str">
        <x:f>IF(A134="","",IF(K134&gt;0,K134,IF(J134="Buy Order",SUMIFS('Market Data'!$F$5:$F$504,'Market Data'!$A$5:$A$504,I134,'Market Data'!$B$5:$B$504,E134,'Market Data'!$D$5:$D$504,1),SUMIFS('Market Data'!$E$5:$E$504,'Market Data'!$A$5:$A$504,I134,'Market Data'!$B$5:$B$504,E134,'Market Data'!$D$5:$D$504,1))))</x:f>
      </x:c>
      <x:c r="M134" s="73" t="str">
        <x:f>IF(A134="","",L134*(1+IF(J134="Buy Order",Settings!$B$16,0)))</x:f>
      </x:c>
      <x:c r="N134" s="73" t="str">
        <x:f>IF(A134="","",G134*M134)</x:f>
      </x:c>
    </x:row>
    <x:row r="135">
      <x:c r="A135" s="42"/>
      <x:c r="B135" s="42"/>
      <x:c r="C135" s="42"/>
      <x:c r="D135" s="42"/>
      <x:c r="E135" s="42"/>
      <x:c r="F135" s="42"/>
      <x:c r="G135" s="70"/>
      <x:c r="H135" s="42"/>
      <x:c r="I135" s="42"/>
      <x:c r="J135" s="42"/>
      <x:c r="K135" s="72"/>
      <x:c r="L135" s="73" t="str">
        <x:f>IF(A135="","",IF(K135&gt;0,K135,IF(J135="Buy Order",SUMIFS('Market Data'!$F$5:$F$504,'Market Data'!$A$5:$A$504,I135,'Market Data'!$B$5:$B$504,E135,'Market Data'!$D$5:$D$504,1),SUMIFS('Market Data'!$E$5:$E$504,'Market Data'!$A$5:$A$504,I135,'Market Data'!$B$5:$B$504,E135,'Market Data'!$D$5:$D$504,1))))</x:f>
      </x:c>
      <x:c r="M135" s="73" t="str">
        <x:f>IF(A135="","",L135*(1+IF(J135="Buy Order",Settings!$B$16,0)))</x:f>
      </x:c>
      <x:c r="N135" s="73" t="str">
        <x:f>IF(A135="","",G135*M135)</x:f>
      </x:c>
    </x:row>
    <x:row r="136">
      <x:c r="A136" s="42"/>
      <x:c r="B136" s="42"/>
      <x:c r="C136" s="42"/>
      <x:c r="D136" s="42"/>
      <x:c r="E136" s="42"/>
      <x:c r="F136" s="42"/>
      <x:c r="G136" s="70"/>
      <x:c r="H136" s="42"/>
      <x:c r="I136" s="42"/>
      <x:c r="J136" s="42"/>
      <x:c r="K136" s="72"/>
      <x:c r="L136" s="73" t="str">
        <x:f>IF(A136="","",IF(K136&gt;0,K136,IF(J136="Buy Order",SUMIFS('Market Data'!$F$5:$F$504,'Market Data'!$A$5:$A$504,I136,'Market Data'!$B$5:$B$504,E136,'Market Data'!$D$5:$D$504,1),SUMIFS('Market Data'!$E$5:$E$504,'Market Data'!$A$5:$A$504,I136,'Market Data'!$B$5:$B$504,E136,'Market Data'!$D$5:$D$504,1))))</x:f>
      </x:c>
      <x:c r="M136" s="73" t="str">
        <x:f>IF(A136="","",L136*(1+IF(J136="Buy Order",Settings!$B$16,0)))</x:f>
      </x:c>
      <x:c r="N136" s="73" t="str">
        <x:f>IF(A136="","",G136*M136)</x:f>
      </x:c>
    </x:row>
    <x:row r="137">
      <x:c r="A137" s="42"/>
      <x:c r="B137" s="42"/>
      <x:c r="C137" s="42"/>
      <x:c r="D137" s="42"/>
      <x:c r="E137" s="42"/>
      <x:c r="F137" s="42"/>
      <x:c r="G137" s="70"/>
      <x:c r="H137" s="42"/>
      <x:c r="I137" s="42"/>
      <x:c r="J137" s="42"/>
      <x:c r="K137" s="72"/>
      <x:c r="L137" s="73" t="str">
        <x:f>IF(A137="","",IF(K137&gt;0,K137,IF(J137="Buy Order",SUMIFS('Market Data'!$F$5:$F$504,'Market Data'!$A$5:$A$504,I137,'Market Data'!$B$5:$B$504,E137,'Market Data'!$D$5:$D$504,1),SUMIFS('Market Data'!$E$5:$E$504,'Market Data'!$A$5:$A$504,I137,'Market Data'!$B$5:$B$504,E137,'Market Data'!$D$5:$D$504,1))))</x:f>
      </x:c>
      <x:c r="M137" s="73" t="str">
        <x:f>IF(A137="","",L137*(1+IF(J137="Buy Order",Settings!$B$16,0)))</x:f>
      </x:c>
      <x:c r="N137" s="73" t="str">
        <x:f>IF(A137="","",G137*M137)</x:f>
      </x:c>
    </x:row>
    <x:row r="138">
      <x:c r="A138" s="42"/>
      <x:c r="B138" s="42"/>
      <x:c r="C138" s="42"/>
      <x:c r="D138" s="42"/>
      <x:c r="E138" s="42"/>
      <x:c r="F138" s="42"/>
      <x:c r="G138" s="70"/>
      <x:c r="H138" s="42"/>
      <x:c r="I138" s="42"/>
      <x:c r="J138" s="42"/>
      <x:c r="K138" s="72"/>
      <x:c r="L138" s="73" t="str">
        <x:f>IF(A138="","",IF(K138&gt;0,K138,IF(J138="Buy Order",SUMIFS('Market Data'!$F$5:$F$504,'Market Data'!$A$5:$A$504,I138,'Market Data'!$B$5:$B$504,E138,'Market Data'!$D$5:$D$504,1),SUMIFS('Market Data'!$E$5:$E$504,'Market Data'!$A$5:$A$504,I138,'Market Data'!$B$5:$B$504,E138,'Market Data'!$D$5:$D$504,1))))</x:f>
      </x:c>
      <x:c r="M138" s="73" t="str">
        <x:f>IF(A138="","",L138*(1+IF(J138="Buy Order",Settings!$B$16,0)))</x:f>
      </x:c>
      <x:c r="N138" s="73" t="str">
        <x:f>IF(A138="","",G138*M138)</x:f>
      </x:c>
    </x:row>
    <x:row r="139">
      <x:c r="A139" s="42"/>
      <x:c r="B139" s="42"/>
      <x:c r="C139" s="42"/>
      <x:c r="D139" s="42"/>
      <x:c r="E139" s="42"/>
      <x:c r="F139" s="42"/>
      <x:c r="G139" s="70"/>
      <x:c r="H139" s="42"/>
      <x:c r="I139" s="42"/>
      <x:c r="J139" s="42"/>
      <x:c r="K139" s="72"/>
      <x:c r="L139" s="73" t="str">
        <x:f>IF(A139="","",IF(K139&gt;0,K139,IF(J139="Buy Order",SUMIFS('Market Data'!$F$5:$F$504,'Market Data'!$A$5:$A$504,I139,'Market Data'!$B$5:$B$504,E139,'Market Data'!$D$5:$D$504,1),SUMIFS('Market Data'!$E$5:$E$504,'Market Data'!$A$5:$A$504,I139,'Market Data'!$B$5:$B$504,E139,'Market Data'!$D$5:$D$504,1))))</x:f>
      </x:c>
      <x:c r="M139" s="73" t="str">
        <x:f>IF(A139="","",L139*(1+IF(J139="Buy Order",Settings!$B$16,0)))</x:f>
      </x:c>
      <x:c r="N139" s="73" t="str">
        <x:f>IF(A139="","",G139*M139)</x:f>
      </x:c>
    </x:row>
    <x:row r="140">
      <x:c r="A140" s="42"/>
      <x:c r="B140" s="42"/>
      <x:c r="C140" s="42"/>
      <x:c r="D140" s="42"/>
      <x:c r="E140" s="42"/>
      <x:c r="F140" s="42"/>
      <x:c r="G140" s="70"/>
      <x:c r="H140" s="42"/>
      <x:c r="I140" s="42"/>
      <x:c r="J140" s="42"/>
      <x:c r="K140" s="72"/>
      <x:c r="L140" s="73" t="str">
        <x:f>IF(A140="","",IF(K140&gt;0,K140,IF(J140="Buy Order",SUMIFS('Market Data'!$F$5:$F$504,'Market Data'!$A$5:$A$504,I140,'Market Data'!$B$5:$B$504,E140,'Market Data'!$D$5:$D$504,1),SUMIFS('Market Data'!$E$5:$E$504,'Market Data'!$A$5:$A$504,I140,'Market Data'!$B$5:$B$504,E140,'Market Data'!$D$5:$D$504,1))))</x:f>
      </x:c>
      <x:c r="M140" s="73" t="str">
        <x:f>IF(A140="","",L140*(1+IF(J140="Buy Order",Settings!$B$16,0)))</x:f>
      </x:c>
      <x:c r="N140" s="73" t="str">
        <x:f>IF(A140="","",G140*M140)</x:f>
      </x:c>
    </x:row>
    <x:row r="141">
      <x:c r="A141" s="42"/>
      <x:c r="B141" s="42"/>
      <x:c r="C141" s="42"/>
      <x:c r="D141" s="42"/>
      <x:c r="E141" s="42"/>
      <x:c r="F141" s="42"/>
      <x:c r="G141" s="70"/>
      <x:c r="H141" s="42"/>
      <x:c r="I141" s="42"/>
      <x:c r="J141" s="42"/>
      <x:c r="K141" s="72"/>
      <x:c r="L141" s="73" t="str">
        <x:f>IF(A141="","",IF(K141&gt;0,K141,IF(J141="Buy Order",SUMIFS('Market Data'!$F$5:$F$504,'Market Data'!$A$5:$A$504,I141,'Market Data'!$B$5:$B$504,E141,'Market Data'!$D$5:$D$504,1),SUMIFS('Market Data'!$E$5:$E$504,'Market Data'!$A$5:$A$504,I141,'Market Data'!$B$5:$B$504,E141,'Market Data'!$D$5:$D$504,1))))</x:f>
      </x:c>
      <x:c r="M141" s="73" t="str">
        <x:f>IF(A141="","",L141*(1+IF(J141="Buy Order",Settings!$B$16,0)))</x:f>
      </x:c>
      <x:c r="N141" s="73" t="str">
        <x:f>IF(A141="","",G141*M141)</x:f>
      </x:c>
    </x:row>
    <x:row r="142">
      <x:c r="A142" s="42"/>
      <x:c r="B142" s="42"/>
      <x:c r="C142" s="42"/>
      <x:c r="D142" s="42"/>
      <x:c r="E142" s="42"/>
      <x:c r="F142" s="42"/>
      <x:c r="G142" s="70"/>
      <x:c r="H142" s="42"/>
      <x:c r="I142" s="42"/>
      <x:c r="J142" s="42"/>
      <x:c r="K142" s="72"/>
      <x:c r="L142" s="73" t="str">
        <x:f>IF(A142="","",IF(K142&gt;0,K142,IF(J142="Buy Order",SUMIFS('Market Data'!$F$5:$F$504,'Market Data'!$A$5:$A$504,I142,'Market Data'!$B$5:$B$504,E142,'Market Data'!$D$5:$D$504,1),SUMIFS('Market Data'!$E$5:$E$504,'Market Data'!$A$5:$A$504,I142,'Market Data'!$B$5:$B$504,E142,'Market Data'!$D$5:$D$504,1))))</x:f>
      </x:c>
      <x:c r="M142" s="73" t="str">
        <x:f>IF(A142="","",L142*(1+IF(J142="Buy Order",Settings!$B$16,0)))</x:f>
      </x:c>
      <x:c r="N142" s="73" t="str">
        <x:f>IF(A142="","",G142*M142)</x:f>
      </x:c>
    </x:row>
    <x:row r="143">
      <x:c r="A143" s="42"/>
      <x:c r="B143" s="42"/>
      <x:c r="C143" s="42"/>
      <x:c r="D143" s="42"/>
      <x:c r="E143" s="42"/>
      <x:c r="F143" s="42"/>
      <x:c r="G143" s="70"/>
      <x:c r="H143" s="42"/>
      <x:c r="I143" s="42"/>
      <x:c r="J143" s="42"/>
      <x:c r="K143" s="72"/>
      <x:c r="L143" s="73" t="str">
        <x:f>IF(A143="","",IF(K143&gt;0,K143,IF(J143="Buy Order",SUMIFS('Market Data'!$F$5:$F$504,'Market Data'!$A$5:$A$504,I143,'Market Data'!$B$5:$B$504,E143,'Market Data'!$D$5:$D$504,1),SUMIFS('Market Data'!$E$5:$E$504,'Market Data'!$A$5:$A$504,I143,'Market Data'!$B$5:$B$504,E143,'Market Data'!$D$5:$D$504,1))))</x:f>
      </x:c>
      <x:c r="M143" s="73" t="str">
        <x:f>IF(A143="","",L143*(1+IF(J143="Buy Order",Settings!$B$16,0)))</x:f>
      </x:c>
      <x:c r="N143" s="73" t="str">
        <x:f>IF(A143="","",G143*M143)</x:f>
      </x:c>
    </x:row>
    <x:row r="144">
      <x:c r="A144" s="42"/>
      <x:c r="B144" s="42"/>
      <x:c r="C144" s="42"/>
      <x:c r="D144" s="42"/>
      <x:c r="E144" s="42"/>
      <x:c r="F144" s="42"/>
      <x:c r="G144" s="70"/>
      <x:c r="H144" s="42"/>
      <x:c r="I144" s="42"/>
      <x:c r="J144" s="42"/>
      <x:c r="K144" s="72"/>
      <x:c r="L144" s="73" t="str">
        <x:f>IF(A144="","",IF(K144&gt;0,K144,IF(J144="Buy Order",SUMIFS('Market Data'!$F$5:$F$504,'Market Data'!$A$5:$A$504,I144,'Market Data'!$B$5:$B$504,E144,'Market Data'!$D$5:$D$504,1),SUMIFS('Market Data'!$E$5:$E$504,'Market Data'!$A$5:$A$504,I144,'Market Data'!$B$5:$B$504,E144,'Market Data'!$D$5:$D$504,1))))</x:f>
      </x:c>
      <x:c r="M144" s="73" t="str">
        <x:f>IF(A144="","",L144*(1+IF(J144="Buy Order",Settings!$B$16,0)))</x:f>
      </x:c>
      <x:c r="N144" s="73" t="str">
        <x:f>IF(A144="","",G144*M144)</x:f>
      </x:c>
    </x:row>
    <x:row r="145">
      <x:c r="A145" s="42"/>
      <x:c r="B145" s="42"/>
      <x:c r="C145" s="42"/>
      <x:c r="D145" s="42"/>
      <x:c r="E145" s="42"/>
      <x:c r="F145" s="42"/>
      <x:c r="G145" s="70"/>
      <x:c r="H145" s="42"/>
      <x:c r="I145" s="42"/>
      <x:c r="J145" s="42"/>
      <x:c r="K145" s="72"/>
      <x:c r="L145" s="73" t="str">
        <x:f>IF(A145="","",IF(K145&gt;0,K145,IF(J145="Buy Order",SUMIFS('Market Data'!$F$5:$F$504,'Market Data'!$A$5:$A$504,I145,'Market Data'!$B$5:$B$504,E145,'Market Data'!$D$5:$D$504,1),SUMIFS('Market Data'!$E$5:$E$504,'Market Data'!$A$5:$A$504,I145,'Market Data'!$B$5:$B$504,E145,'Market Data'!$D$5:$D$504,1))))</x:f>
      </x:c>
      <x:c r="M145" s="73" t="str">
        <x:f>IF(A145="","",L145*(1+IF(J145="Buy Order",Settings!$B$16,0)))</x:f>
      </x:c>
      <x:c r="N145" s="73" t="str">
        <x:f>IF(A145="","",G145*M145)</x:f>
      </x:c>
    </x:row>
    <x:row r="146">
      <x:c r="A146" s="42"/>
      <x:c r="B146" s="42"/>
      <x:c r="C146" s="42"/>
      <x:c r="D146" s="42"/>
      <x:c r="E146" s="42"/>
      <x:c r="F146" s="42"/>
      <x:c r="G146" s="70"/>
      <x:c r="H146" s="42"/>
      <x:c r="I146" s="42"/>
      <x:c r="J146" s="42"/>
      <x:c r="K146" s="72"/>
      <x:c r="L146" s="73" t="str">
        <x:f>IF(A146="","",IF(K146&gt;0,K146,IF(J146="Buy Order",SUMIFS('Market Data'!$F$5:$F$504,'Market Data'!$A$5:$A$504,I146,'Market Data'!$B$5:$B$504,E146,'Market Data'!$D$5:$D$504,1),SUMIFS('Market Data'!$E$5:$E$504,'Market Data'!$A$5:$A$504,I146,'Market Data'!$B$5:$B$504,E146,'Market Data'!$D$5:$D$504,1))))</x:f>
      </x:c>
      <x:c r="M146" s="73" t="str">
        <x:f>IF(A146="","",L146*(1+IF(J146="Buy Order",Settings!$B$16,0)))</x:f>
      </x:c>
      <x:c r="N146" s="73" t="str">
        <x:f>IF(A146="","",G146*M146)</x:f>
      </x:c>
    </x:row>
    <x:row r="147">
      <x:c r="A147" s="42"/>
      <x:c r="B147" s="42"/>
      <x:c r="C147" s="42"/>
      <x:c r="D147" s="42"/>
      <x:c r="E147" s="42"/>
      <x:c r="F147" s="42"/>
      <x:c r="G147" s="70"/>
      <x:c r="H147" s="42"/>
      <x:c r="I147" s="42"/>
      <x:c r="J147" s="42"/>
      <x:c r="K147" s="72"/>
      <x:c r="L147" s="73" t="str">
        <x:f>IF(A147="","",IF(K147&gt;0,K147,IF(J147="Buy Order",SUMIFS('Market Data'!$F$5:$F$504,'Market Data'!$A$5:$A$504,I147,'Market Data'!$B$5:$B$504,E147,'Market Data'!$D$5:$D$504,1),SUMIFS('Market Data'!$E$5:$E$504,'Market Data'!$A$5:$A$504,I147,'Market Data'!$B$5:$B$504,E147,'Market Data'!$D$5:$D$504,1))))</x:f>
      </x:c>
      <x:c r="M147" s="73" t="str">
        <x:f>IF(A147="","",L147*(1+IF(J147="Buy Order",Settings!$B$16,0)))</x:f>
      </x:c>
      <x:c r="N147" s="73" t="str">
        <x:f>IF(A147="","",G147*M147)</x:f>
      </x:c>
    </x:row>
    <x:row r="148">
      <x:c r="A148" s="42"/>
      <x:c r="B148" s="42"/>
      <x:c r="C148" s="42"/>
      <x:c r="D148" s="42"/>
      <x:c r="E148" s="42"/>
      <x:c r="F148" s="42"/>
      <x:c r="G148" s="70"/>
      <x:c r="H148" s="42"/>
      <x:c r="I148" s="42"/>
      <x:c r="J148" s="42"/>
      <x:c r="K148" s="72"/>
      <x:c r="L148" s="73" t="str">
        <x:f>IF(A148="","",IF(K148&gt;0,K148,IF(J148="Buy Order",SUMIFS('Market Data'!$F$5:$F$504,'Market Data'!$A$5:$A$504,I148,'Market Data'!$B$5:$B$504,E148,'Market Data'!$D$5:$D$504,1),SUMIFS('Market Data'!$E$5:$E$504,'Market Data'!$A$5:$A$504,I148,'Market Data'!$B$5:$B$504,E148,'Market Data'!$D$5:$D$504,1))))</x:f>
      </x:c>
      <x:c r="M148" s="73" t="str">
        <x:f>IF(A148="","",L148*(1+IF(J148="Buy Order",Settings!$B$16,0)))</x:f>
      </x:c>
      <x:c r="N148" s="73" t="str">
        <x:f>IF(A148="","",G148*M148)</x:f>
      </x:c>
    </x:row>
    <x:row r="149">
      <x:c r="A149" s="42"/>
      <x:c r="B149" s="42"/>
      <x:c r="C149" s="42"/>
      <x:c r="D149" s="42"/>
      <x:c r="E149" s="42"/>
      <x:c r="F149" s="42"/>
      <x:c r="G149" s="70"/>
      <x:c r="H149" s="42"/>
      <x:c r="I149" s="42"/>
      <x:c r="J149" s="42"/>
      <x:c r="K149" s="72"/>
      <x:c r="L149" s="73" t="str">
        <x:f>IF(A149="","",IF(K149&gt;0,K149,IF(J149="Buy Order",SUMIFS('Market Data'!$F$5:$F$504,'Market Data'!$A$5:$A$504,I149,'Market Data'!$B$5:$B$504,E149,'Market Data'!$D$5:$D$504,1),SUMIFS('Market Data'!$E$5:$E$504,'Market Data'!$A$5:$A$504,I149,'Market Data'!$B$5:$B$504,E149,'Market Data'!$D$5:$D$504,1))))</x:f>
      </x:c>
      <x:c r="M149" s="73" t="str">
        <x:f>IF(A149="","",L149*(1+IF(J149="Buy Order",Settings!$B$16,0)))</x:f>
      </x:c>
      <x:c r="N149" s="73" t="str">
        <x:f>IF(A149="","",G149*M149)</x:f>
      </x:c>
    </x:row>
    <x:row r="150">
      <x:c r="A150" s="42"/>
      <x:c r="B150" s="42"/>
      <x:c r="C150" s="42"/>
      <x:c r="D150" s="42"/>
      <x:c r="E150" s="42"/>
      <x:c r="F150" s="42"/>
      <x:c r="G150" s="70"/>
      <x:c r="H150" s="42"/>
      <x:c r="I150" s="42"/>
      <x:c r="J150" s="42"/>
      <x:c r="K150" s="72"/>
      <x:c r="L150" s="73" t="str">
        <x:f>IF(A150="","",IF(K150&gt;0,K150,IF(J150="Buy Order",SUMIFS('Market Data'!$F$5:$F$504,'Market Data'!$A$5:$A$504,I150,'Market Data'!$B$5:$B$504,E150,'Market Data'!$D$5:$D$504,1),SUMIFS('Market Data'!$E$5:$E$504,'Market Data'!$A$5:$A$504,I150,'Market Data'!$B$5:$B$504,E150,'Market Data'!$D$5:$D$504,1))))</x:f>
      </x:c>
      <x:c r="M150" s="73" t="str">
        <x:f>IF(A150="","",L150*(1+IF(J150="Buy Order",Settings!$B$16,0)))</x:f>
      </x:c>
      <x:c r="N150" s="73" t="str">
        <x:f>IF(A150="","",G150*M150)</x:f>
      </x:c>
    </x:row>
    <x:row r="151">
      <x:c r="A151" s="42"/>
      <x:c r="B151" s="42"/>
      <x:c r="C151" s="42"/>
      <x:c r="D151" s="42"/>
      <x:c r="E151" s="42"/>
      <x:c r="F151" s="42"/>
      <x:c r="G151" s="70"/>
      <x:c r="H151" s="42"/>
      <x:c r="I151" s="42"/>
      <x:c r="J151" s="42"/>
      <x:c r="K151" s="72"/>
      <x:c r="L151" s="73" t="str">
        <x:f>IF(A151="","",IF(K151&gt;0,K151,IF(J151="Buy Order",SUMIFS('Market Data'!$F$5:$F$504,'Market Data'!$A$5:$A$504,I151,'Market Data'!$B$5:$B$504,E151,'Market Data'!$D$5:$D$504,1),SUMIFS('Market Data'!$E$5:$E$504,'Market Data'!$A$5:$A$504,I151,'Market Data'!$B$5:$B$504,E151,'Market Data'!$D$5:$D$504,1))))</x:f>
      </x:c>
      <x:c r="M151" s="73" t="str">
        <x:f>IF(A151="","",L151*(1+IF(J151="Buy Order",Settings!$B$16,0)))</x:f>
      </x:c>
      <x:c r="N151" s="73" t="str">
        <x:f>IF(A151="","",G151*M151)</x:f>
      </x:c>
    </x:row>
    <x:row r="152">
      <x:c r="A152" s="42"/>
      <x:c r="B152" s="42"/>
      <x:c r="C152" s="42"/>
      <x:c r="D152" s="42"/>
      <x:c r="E152" s="42"/>
      <x:c r="F152" s="42"/>
      <x:c r="G152" s="70"/>
      <x:c r="H152" s="42"/>
      <x:c r="I152" s="42"/>
      <x:c r="J152" s="42"/>
      <x:c r="K152" s="72"/>
      <x:c r="L152" s="73" t="str">
        <x:f>IF(A152="","",IF(K152&gt;0,K152,IF(J152="Buy Order",SUMIFS('Market Data'!$F$5:$F$504,'Market Data'!$A$5:$A$504,I152,'Market Data'!$B$5:$B$504,E152,'Market Data'!$D$5:$D$504,1),SUMIFS('Market Data'!$E$5:$E$504,'Market Data'!$A$5:$A$504,I152,'Market Data'!$B$5:$B$504,E152,'Market Data'!$D$5:$D$504,1))))</x:f>
      </x:c>
      <x:c r="M152" s="73" t="str">
        <x:f>IF(A152="","",L152*(1+IF(J152="Buy Order",Settings!$B$16,0)))</x:f>
      </x:c>
      <x:c r="N152" s="73" t="str">
        <x:f>IF(A152="","",G152*M152)</x:f>
      </x:c>
    </x:row>
    <x:row r="153">
      <x:c r="A153" s="42"/>
      <x:c r="B153" s="42"/>
      <x:c r="C153" s="42"/>
      <x:c r="D153" s="42"/>
      <x:c r="E153" s="42"/>
      <x:c r="F153" s="42"/>
      <x:c r="G153" s="70"/>
      <x:c r="H153" s="42"/>
      <x:c r="I153" s="42"/>
      <x:c r="J153" s="42"/>
      <x:c r="K153" s="72"/>
      <x:c r="L153" s="73" t="str">
        <x:f>IF(A153="","",IF(K153&gt;0,K153,IF(J153="Buy Order",SUMIFS('Market Data'!$F$5:$F$504,'Market Data'!$A$5:$A$504,I153,'Market Data'!$B$5:$B$504,E153,'Market Data'!$D$5:$D$504,1),SUMIFS('Market Data'!$E$5:$E$504,'Market Data'!$A$5:$A$504,I153,'Market Data'!$B$5:$B$504,E153,'Market Data'!$D$5:$D$504,1))))</x:f>
      </x:c>
      <x:c r="M153" s="73" t="str">
        <x:f>IF(A153="","",L153*(1+IF(J153="Buy Order",Settings!$B$16,0)))</x:f>
      </x:c>
      <x:c r="N153" s="73" t="str">
        <x:f>IF(A153="","",G153*M153)</x:f>
      </x:c>
    </x:row>
    <x:row r="154">
      <x:c r="A154" s="42"/>
      <x:c r="B154" s="42"/>
      <x:c r="C154" s="42"/>
      <x:c r="D154" s="42"/>
      <x:c r="E154" s="42"/>
      <x:c r="F154" s="42"/>
      <x:c r="G154" s="70"/>
      <x:c r="H154" s="42"/>
      <x:c r="I154" s="42"/>
      <x:c r="J154" s="42"/>
      <x:c r="K154" s="72"/>
      <x:c r="L154" s="73" t="str">
        <x:f>IF(A154="","",IF(K154&gt;0,K154,IF(J154="Buy Order",SUMIFS('Market Data'!$F$5:$F$504,'Market Data'!$A$5:$A$504,I154,'Market Data'!$B$5:$B$504,E154,'Market Data'!$D$5:$D$504,1),SUMIFS('Market Data'!$E$5:$E$504,'Market Data'!$A$5:$A$504,I154,'Market Data'!$B$5:$B$504,E154,'Market Data'!$D$5:$D$504,1))))</x:f>
      </x:c>
      <x:c r="M154" s="73" t="str">
        <x:f>IF(A154="","",L154*(1+IF(J154="Buy Order",Settings!$B$16,0)))</x:f>
      </x:c>
      <x:c r="N154" s="73" t="str">
        <x:f>IF(A154="","",G154*M154)</x:f>
      </x:c>
    </x:row>
    <x:row r="155">
      <x:c r="A155" s="42"/>
      <x:c r="B155" s="42"/>
      <x:c r="C155" s="42"/>
      <x:c r="D155" s="42"/>
      <x:c r="E155" s="42"/>
      <x:c r="F155" s="42"/>
      <x:c r="G155" s="70"/>
      <x:c r="H155" s="42"/>
      <x:c r="I155" s="42"/>
      <x:c r="J155" s="42"/>
      <x:c r="K155" s="72"/>
      <x:c r="L155" s="73" t="str">
        <x:f>IF(A155="","",IF(K155&gt;0,K155,IF(J155="Buy Order",SUMIFS('Market Data'!$F$5:$F$504,'Market Data'!$A$5:$A$504,I155,'Market Data'!$B$5:$B$504,E155,'Market Data'!$D$5:$D$504,1),SUMIFS('Market Data'!$E$5:$E$504,'Market Data'!$A$5:$A$504,I155,'Market Data'!$B$5:$B$504,E155,'Market Data'!$D$5:$D$504,1))))</x:f>
      </x:c>
      <x:c r="M155" s="73" t="str">
        <x:f>IF(A155="","",L155*(1+IF(J155="Buy Order",Settings!$B$16,0)))</x:f>
      </x:c>
      <x:c r="N155" s="73" t="str">
        <x:f>IF(A155="","",G155*M155)</x:f>
      </x:c>
    </x:row>
    <x:row r="156">
      <x:c r="A156" s="42"/>
      <x:c r="B156" s="42"/>
      <x:c r="C156" s="42"/>
      <x:c r="D156" s="42"/>
      <x:c r="E156" s="42"/>
      <x:c r="F156" s="42"/>
      <x:c r="G156" s="70"/>
      <x:c r="H156" s="42"/>
      <x:c r="I156" s="42"/>
      <x:c r="J156" s="42"/>
      <x:c r="K156" s="72"/>
      <x:c r="L156" s="73" t="str">
        <x:f>IF(A156="","",IF(K156&gt;0,K156,IF(J156="Buy Order",SUMIFS('Market Data'!$F$5:$F$504,'Market Data'!$A$5:$A$504,I156,'Market Data'!$B$5:$B$504,E156,'Market Data'!$D$5:$D$504,1),SUMIFS('Market Data'!$E$5:$E$504,'Market Data'!$A$5:$A$504,I156,'Market Data'!$B$5:$B$504,E156,'Market Data'!$D$5:$D$504,1))))</x:f>
      </x:c>
      <x:c r="M156" s="73" t="str">
        <x:f>IF(A156="","",L156*(1+IF(J156="Buy Order",Settings!$B$16,0)))</x:f>
      </x:c>
      <x:c r="N156" s="73" t="str">
        <x:f>IF(A156="","",G156*M156)</x:f>
      </x:c>
    </x:row>
    <x:row r="157">
      <x:c r="A157" s="42"/>
      <x:c r="B157" s="42"/>
      <x:c r="C157" s="42"/>
      <x:c r="D157" s="42"/>
      <x:c r="E157" s="42"/>
      <x:c r="F157" s="42"/>
      <x:c r="G157" s="70"/>
      <x:c r="H157" s="42"/>
      <x:c r="I157" s="42"/>
      <x:c r="J157" s="42"/>
      <x:c r="K157" s="72"/>
      <x:c r="L157" s="73" t="str">
        <x:f>IF(A157="","",IF(K157&gt;0,K157,IF(J157="Buy Order",SUMIFS('Market Data'!$F$5:$F$504,'Market Data'!$A$5:$A$504,I157,'Market Data'!$B$5:$B$504,E157,'Market Data'!$D$5:$D$504,1),SUMIFS('Market Data'!$E$5:$E$504,'Market Data'!$A$5:$A$504,I157,'Market Data'!$B$5:$B$504,E157,'Market Data'!$D$5:$D$504,1))))</x:f>
      </x:c>
      <x:c r="M157" s="73" t="str">
        <x:f>IF(A157="","",L157*(1+IF(J157="Buy Order",Settings!$B$16,0)))</x:f>
      </x:c>
      <x:c r="N157" s="73" t="str">
        <x:f>IF(A157="","",G157*M157)</x:f>
      </x:c>
    </x:row>
    <x:row r="158">
      <x:c r="A158" s="42"/>
      <x:c r="B158" s="42"/>
      <x:c r="C158" s="42"/>
      <x:c r="D158" s="42"/>
      <x:c r="E158" s="42"/>
      <x:c r="F158" s="42"/>
      <x:c r="G158" s="70"/>
      <x:c r="H158" s="42"/>
      <x:c r="I158" s="42"/>
      <x:c r="J158" s="42"/>
      <x:c r="K158" s="72"/>
      <x:c r="L158" s="73" t="str">
        <x:f>IF(A158="","",IF(K158&gt;0,K158,IF(J158="Buy Order",SUMIFS('Market Data'!$F$5:$F$504,'Market Data'!$A$5:$A$504,I158,'Market Data'!$B$5:$B$504,E158,'Market Data'!$D$5:$D$504,1),SUMIFS('Market Data'!$E$5:$E$504,'Market Data'!$A$5:$A$504,I158,'Market Data'!$B$5:$B$504,E158,'Market Data'!$D$5:$D$504,1))))</x:f>
      </x:c>
      <x:c r="M158" s="73" t="str">
        <x:f>IF(A158="","",L158*(1+IF(J158="Buy Order",Settings!$B$16,0)))</x:f>
      </x:c>
      <x:c r="N158" s="73" t="str">
        <x:f>IF(A158="","",G158*M158)</x:f>
      </x:c>
    </x:row>
    <x:row r="159">
      <x:c r="A159" s="42"/>
      <x:c r="B159" s="42"/>
      <x:c r="C159" s="42"/>
      <x:c r="D159" s="42"/>
      <x:c r="E159" s="42"/>
      <x:c r="F159" s="42"/>
      <x:c r="G159" s="70"/>
      <x:c r="H159" s="42"/>
      <x:c r="I159" s="42"/>
      <x:c r="J159" s="42"/>
      <x:c r="K159" s="72"/>
      <x:c r="L159" s="73" t="str">
        <x:f>IF(A159="","",IF(K159&gt;0,K159,IF(J159="Buy Order",SUMIFS('Market Data'!$F$5:$F$504,'Market Data'!$A$5:$A$504,I159,'Market Data'!$B$5:$B$504,E159,'Market Data'!$D$5:$D$504,1),SUMIFS('Market Data'!$E$5:$E$504,'Market Data'!$A$5:$A$504,I159,'Market Data'!$B$5:$B$504,E159,'Market Data'!$D$5:$D$504,1))))</x:f>
      </x:c>
      <x:c r="M159" s="73" t="str">
        <x:f>IF(A159="","",L159*(1+IF(J159="Buy Order",Settings!$B$16,0)))</x:f>
      </x:c>
      <x:c r="N159" s="73" t="str">
        <x:f>IF(A159="","",G159*M159)</x:f>
      </x:c>
    </x:row>
    <x:row r="160">
      <x:c r="A160" s="42"/>
      <x:c r="B160" s="42"/>
      <x:c r="C160" s="42"/>
      <x:c r="D160" s="42"/>
      <x:c r="E160" s="42"/>
      <x:c r="F160" s="42"/>
      <x:c r="G160" s="70"/>
      <x:c r="H160" s="42"/>
      <x:c r="I160" s="42"/>
      <x:c r="J160" s="42"/>
      <x:c r="K160" s="72"/>
      <x:c r="L160" s="73" t="str">
        <x:f>IF(A160="","",IF(K160&gt;0,K160,IF(J160="Buy Order",SUMIFS('Market Data'!$F$5:$F$504,'Market Data'!$A$5:$A$504,I160,'Market Data'!$B$5:$B$504,E160,'Market Data'!$D$5:$D$504,1),SUMIFS('Market Data'!$E$5:$E$504,'Market Data'!$A$5:$A$504,I160,'Market Data'!$B$5:$B$504,E160,'Market Data'!$D$5:$D$504,1))))</x:f>
      </x:c>
      <x:c r="M160" s="73" t="str">
        <x:f>IF(A160="","",L160*(1+IF(J160="Buy Order",Settings!$B$16,0)))</x:f>
      </x:c>
      <x:c r="N160" s="73" t="str">
        <x:f>IF(A160="","",G160*M160)</x:f>
      </x:c>
    </x:row>
    <x:row r="161">
      <x:c r="A161" s="42"/>
      <x:c r="B161" s="42"/>
      <x:c r="C161" s="42"/>
      <x:c r="D161" s="42"/>
      <x:c r="E161" s="42"/>
      <x:c r="F161" s="42"/>
      <x:c r="G161" s="70"/>
      <x:c r="H161" s="42"/>
      <x:c r="I161" s="42"/>
      <x:c r="J161" s="42"/>
      <x:c r="K161" s="72"/>
      <x:c r="L161" s="73" t="str">
        <x:f>IF(A161="","",IF(K161&gt;0,K161,IF(J161="Buy Order",SUMIFS('Market Data'!$F$5:$F$504,'Market Data'!$A$5:$A$504,I161,'Market Data'!$B$5:$B$504,E161,'Market Data'!$D$5:$D$504,1),SUMIFS('Market Data'!$E$5:$E$504,'Market Data'!$A$5:$A$504,I161,'Market Data'!$B$5:$B$504,E161,'Market Data'!$D$5:$D$504,1))))</x:f>
      </x:c>
      <x:c r="M161" s="73" t="str">
        <x:f>IF(A161="","",L161*(1+IF(J161="Buy Order",Settings!$B$16,0)))</x:f>
      </x:c>
      <x:c r="N161" s="73" t="str">
        <x:f>IF(A161="","",G161*M161)</x:f>
      </x:c>
    </x:row>
    <x:row r="162">
      <x:c r="A162" s="42"/>
      <x:c r="B162" s="42"/>
      <x:c r="C162" s="42"/>
      <x:c r="D162" s="42"/>
      <x:c r="E162" s="42"/>
      <x:c r="F162" s="42"/>
      <x:c r="G162" s="70"/>
      <x:c r="H162" s="42"/>
      <x:c r="I162" s="42"/>
      <x:c r="J162" s="42"/>
      <x:c r="K162" s="72"/>
      <x:c r="L162" s="73" t="str">
        <x:f>IF(A162="","",IF(K162&gt;0,K162,IF(J162="Buy Order",SUMIFS('Market Data'!$F$5:$F$504,'Market Data'!$A$5:$A$504,I162,'Market Data'!$B$5:$B$504,E162,'Market Data'!$D$5:$D$504,1),SUMIFS('Market Data'!$E$5:$E$504,'Market Data'!$A$5:$A$504,I162,'Market Data'!$B$5:$B$504,E162,'Market Data'!$D$5:$D$504,1))))</x:f>
      </x:c>
      <x:c r="M162" s="73" t="str">
        <x:f>IF(A162="","",L162*(1+IF(J162="Buy Order",Settings!$B$16,0)))</x:f>
      </x:c>
      <x:c r="N162" s="73" t="str">
        <x:f>IF(A162="","",G162*M162)</x:f>
      </x:c>
    </x:row>
    <x:row r="163">
      <x:c r="A163" s="42"/>
      <x:c r="B163" s="42"/>
      <x:c r="C163" s="42"/>
      <x:c r="D163" s="42"/>
      <x:c r="E163" s="42"/>
      <x:c r="F163" s="42"/>
      <x:c r="G163" s="70"/>
      <x:c r="H163" s="42"/>
      <x:c r="I163" s="42"/>
      <x:c r="J163" s="42"/>
      <x:c r="K163" s="72"/>
      <x:c r="L163" s="73" t="str">
        <x:f>IF(A163="","",IF(K163&gt;0,K163,IF(J163="Buy Order",SUMIFS('Market Data'!$F$5:$F$504,'Market Data'!$A$5:$A$504,I163,'Market Data'!$B$5:$B$504,E163,'Market Data'!$D$5:$D$504,1),SUMIFS('Market Data'!$E$5:$E$504,'Market Data'!$A$5:$A$504,I163,'Market Data'!$B$5:$B$504,E163,'Market Data'!$D$5:$D$504,1))))</x:f>
      </x:c>
      <x:c r="M163" s="73" t="str">
        <x:f>IF(A163="","",L163*(1+IF(J163="Buy Order",Settings!$B$16,0)))</x:f>
      </x:c>
      <x:c r="N163" s="73" t="str">
        <x:f>IF(A163="","",G163*M163)</x:f>
      </x:c>
    </x:row>
    <x:row r="164">
      <x:c r="A164" s="42"/>
      <x:c r="B164" s="42"/>
      <x:c r="C164" s="42"/>
      <x:c r="D164" s="42"/>
      <x:c r="E164" s="42"/>
      <x:c r="F164" s="42"/>
      <x:c r="G164" s="70"/>
      <x:c r="H164" s="42"/>
      <x:c r="I164" s="42"/>
      <x:c r="J164" s="42"/>
      <x:c r="K164" s="72"/>
      <x:c r="L164" s="73" t="str">
        <x:f>IF(A164="","",IF(K164&gt;0,K164,IF(J164="Buy Order",SUMIFS('Market Data'!$F$5:$F$504,'Market Data'!$A$5:$A$504,I164,'Market Data'!$B$5:$B$504,E164,'Market Data'!$D$5:$D$504,1),SUMIFS('Market Data'!$E$5:$E$504,'Market Data'!$A$5:$A$504,I164,'Market Data'!$B$5:$B$504,E164,'Market Data'!$D$5:$D$504,1))))</x:f>
      </x:c>
      <x:c r="M164" s="73" t="str">
        <x:f>IF(A164="","",L164*(1+IF(J164="Buy Order",Settings!$B$16,0)))</x:f>
      </x:c>
      <x:c r="N164" s="73" t="str">
        <x:f>IF(A164="","",G164*M164)</x:f>
      </x:c>
    </x:row>
    <x:row r="165">
      <x:c r="A165" s="42"/>
      <x:c r="B165" s="42"/>
      <x:c r="C165" s="42"/>
      <x:c r="D165" s="42"/>
      <x:c r="E165" s="42"/>
      <x:c r="F165" s="42"/>
      <x:c r="G165" s="70"/>
      <x:c r="H165" s="42"/>
      <x:c r="I165" s="42"/>
      <x:c r="J165" s="42"/>
      <x:c r="K165" s="72"/>
      <x:c r="L165" s="73" t="str">
        <x:f>IF(A165="","",IF(K165&gt;0,K165,IF(J165="Buy Order",SUMIFS('Market Data'!$F$5:$F$504,'Market Data'!$A$5:$A$504,I165,'Market Data'!$B$5:$B$504,E165,'Market Data'!$D$5:$D$504,1),SUMIFS('Market Data'!$E$5:$E$504,'Market Data'!$A$5:$A$504,I165,'Market Data'!$B$5:$B$504,E165,'Market Data'!$D$5:$D$504,1))))</x:f>
      </x:c>
      <x:c r="M165" s="73" t="str">
        <x:f>IF(A165="","",L165*(1+IF(J165="Buy Order",Settings!$B$16,0)))</x:f>
      </x:c>
      <x:c r="N165" s="73" t="str">
        <x:f>IF(A165="","",G165*M165)</x:f>
      </x:c>
    </x:row>
    <x:row r="166">
      <x:c r="A166" s="42"/>
      <x:c r="B166" s="42"/>
      <x:c r="C166" s="42"/>
      <x:c r="D166" s="42"/>
      <x:c r="E166" s="42"/>
      <x:c r="F166" s="42"/>
      <x:c r="G166" s="70"/>
      <x:c r="H166" s="42"/>
      <x:c r="I166" s="42"/>
      <x:c r="J166" s="42"/>
      <x:c r="K166" s="72"/>
      <x:c r="L166" s="73" t="str">
        <x:f>IF(A166="","",IF(K166&gt;0,K166,IF(J166="Buy Order",SUMIFS('Market Data'!$F$5:$F$504,'Market Data'!$A$5:$A$504,I166,'Market Data'!$B$5:$B$504,E166,'Market Data'!$D$5:$D$504,1),SUMIFS('Market Data'!$E$5:$E$504,'Market Data'!$A$5:$A$504,I166,'Market Data'!$B$5:$B$504,E166,'Market Data'!$D$5:$D$504,1))))</x:f>
      </x:c>
      <x:c r="M166" s="73" t="str">
        <x:f>IF(A166="","",L166*(1+IF(J166="Buy Order",Settings!$B$16,0)))</x:f>
      </x:c>
      <x:c r="N166" s="73" t="str">
        <x:f>IF(A166="","",G166*M166)</x:f>
      </x:c>
    </x:row>
    <x:row r="167">
      <x:c r="A167" s="42"/>
      <x:c r="B167" s="42"/>
      <x:c r="C167" s="42"/>
      <x:c r="D167" s="42"/>
      <x:c r="E167" s="42"/>
      <x:c r="F167" s="42"/>
      <x:c r="G167" s="70"/>
      <x:c r="H167" s="42"/>
      <x:c r="I167" s="42"/>
      <x:c r="J167" s="42"/>
      <x:c r="K167" s="72"/>
      <x:c r="L167" s="73" t="str">
        <x:f>IF(A167="","",IF(K167&gt;0,K167,IF(J167="Buy Order",SUMIFS('Market Data'!$F$5:$F$504,'Market Data'!$A$5:$A$504,I167,'Market Data'!$B$5:$B$504,E167,'Market Data'!$D$5:$D$504,1),SUMIFS('Market Data'!$E$5:$E$504,'Market Data'!$A$5:$A$504,I167,'Market Data'!$B$5:$B$504,E167,'Market Data'!$D$5:$D$504,1))))</x:f>
      </x:c>
      <x:c r="M167" s="73" t="str">
        <x:f>IF(A167="","",L167*(1+IF(J167="Buy Order",Settings!$B$16,0)))</x:f>
      </x:c>
      <x:c r="N167" s="73" t="str">
        <x:f>IF(A167="","",G167*M167)</x:f>
      </x:c>
    </x:row>
    <x:row r="168">
      <x:c r="A168" s="42"/>
      <x:c r="B168" s="42"/>
      <x:c r="C168" s="42"/>
      <x:c r="D168" s="42"/>
      <x:c r="E168" s="42"/>
      <x:c r="F168" s="42"/>
      <x:c r="G168" s="70"/>
      <x:c r="H168" s="42"/>
      <x:c r="I168" s="42"/>
      <x:c r="J168" s="42"/>
      <x:c r="K168" s="72"/>
      <x:c r="L168" s="73" t="str">
        <x:f>IF(A168="","",IF(K168&gt;0,K168,IF(J168="Buy Order",SUMIFS('Market Data'!$F$5:$F$504,'Market Data'!$A$5:$A$504,I168,'Market Data'!$B$5:$B$504,E168,'Market Data'!$D$5:$D$504,1),SUMIFS('Market Data'!$E$5:$E$504,'Market Data'!$A$5:$A$504,I168,'Market Data'!$B$5:$B$504,E168,'Market Data'!$D$5:$D$504,1))))</x:f>
      </x:c>
      <x:c r="M168" s="73" t="str">
        <x:f>IF(A168="","",L168*(1+IF(J168="Buy Order",Settings!$B$16,0)))</x:f>
      </x:c>
      <x:c r="N168" s="73" t="str">
        <x:f>IF(A168="","",G168*M168)</x:f>
      </x:c>
    </x:row>
    <x:row r="169">
      <x:c r="A169" s="42"/>
      <x:c r="B169" s="42"/>
      <x:c r="C169" s="42"/>
      <x:c r="D169" s="42"/>
      <x:c r="E169" s="42"/>
      <x:c r="F169" s="42"/>
      <x:c r="G169" s="70"/>
      <x:c r="H169" s="42"/>
      <x:c r="I169" s="42"/>
      <x:c r="J169" s="42"/>
      <x:c r="K169" s="72"/>
      <x:c r="L169" s="73" t="str">
        <x:f>IF(A169="","",IF(K169&gt;0,K169,IF(J169="Buy Order",SUMIFS('Market Data'!$F$5:$F$504,'Market Data'!$A$5:$A$504,I169,'Market Data'!$B$5:$B$504,E169,'Market Data'!$D$5:$D$504,1),SUMIFS('Market Data'!$E$5:$E$504,'Market Data'!$A$5:$A$504,I169,'Market Data'!$B$5:$B$504,E169,'Market Data'!$D$5:$D$504,1))))</x:f>
      </x:c>
      <x:c r="M169" s="73" t="str">
        <x:f>IF(A169="","",L169*(1+IF(J169="Buy Order",Settings!$B$16,0)))</x:f>
      </x:c>
      <x:c r="N169" s="73" t="str">
        <x:f>IF(A169="","",G169*M169)</x:f>
      </x:c>
    </x:row>
    <x:row r="170">
      <x:c r="A170" s="42"/>
      <x:c r="B170" s="42"/>
      <x:c r="C170" s="42"/>
      <x:c r="D170" s="42"/>
      <x:c r="E170" s="42"/>
      <x:c r="F170" s="42"/>
      <x:c r="G170" s="70"/>
      <x:c r="H170" s="42"/>
      <x:c r="I170" s="42"/>
      <x:c r="J170" s="42"/>
      <x:c r="K170" s="72"/>
      <x:c r="L170" s="73" t="str">
        <x:f>IF(A170="","",IF(K170&gt;0,K170,IF(J170="Buy Order",SUMIFS('Market Data'!$F$5:$F$504,'Market Data'!$A$5:$A$504,I170,'Market Data'!$B$5:$B$504,E170,'Market Data'!$D$5:$D$504,1),SUMIFS('Market Data'!$E$5:$E$504,'Market Data'!$A$5:$A$504,I170,'Market Data'!$B$5:$B$504,E170,'Market Data'!$D$5:$D$504,1))))</x:f>
      </x:c>
      <x:c r="M170" s="73" t="str">
        <x:f>IF(A170="","",L170*(1+IF(J170="Buy Order",Settings!$B$16,0)))</x:f>
      </x:c>
      <x:c r="N170" s="73" t="str">
        <x:f>IF(A170="","",G170*M170)</x:f>
      </x:c>
    </x:row>
    <x:row r="171">
      <x:c r="A171" s="42"/>
      <x:c r="B171" s="42"/>
      <x:c r="C171" s="42"/>
      <x:c r="D171" s="42"/>
      <x:c r="E171" s="42"/>
      <x:c r="F171" s="42"/>
      <x:c r="G171" s="70"/>
      <x:c r="H171" s="42"/>
      <x:c r="I171" s="42"/>
      <x:c r="J171" s="42"/>
      <x:c r="K171" s="72"/>
      <x:c r="L171" s="73" t="str">
        <x:f>IF(A171="","",IF(K171&gt;0,K171,IF(J171="Buy Order",SUMIFS('Market Data'!$F$5:$F$504,'Market Data'!$A$5:$A$504,I171,'Market Data'!$B$5:$B$504,E171,'Market Data'!$D$5:$D$504,1),SUMIFS('Market Data'!$E$5:$E$504,'Market Data'!$A$5:$A$504,I171,'Market Data'!$B$5:$B$504,E171,'Market Data'!$D$5:$D$504,1))))</x:f>
      </x:c>
      <x:c r="M171" s="73" t="str">
        <x:f>IF(A171="","",L171*(1+IF(J171="Buy Order",Settings!$B$16,0)))</x:f>
      </x:c>
      <x:c r="N171" s="73" t="str">
        <x:f>IF(A171="","",G171*M171)</x:f>
      </x:c>
    </x:row>
    <x:row r="172">
      <x:c r="A172" s="42"/>
      <x:c r="B172" s="42"/>
      <x:c r="C172" s="42"/>
      <x:c r="D172" s="42"/>
      <x:c r="E172" s="42"/>
      <x:c r="F172" s="42"/>
      <x:c r="G172" s="70"/>
      <x:c r="H172" s="42"/>
      <x:c r="I172" s="42"/>
      <x:c r="J172" s="42"/>
      <x:c r="K172" s="72"/>
      <x:c r="L172" s="73" t="str">
        <x:f>IF(A172="","",IF(K172&gt;0,K172,IF(J172="Buy Order",SUMIFS('Market Data'!$F$5:$F$504,'Market Data'!$A$5:$A$504,I172,'Market Data'!$B$5:$B$504,E172,'Market Data'!$D$5:$D$504,1),SUMIFS('Market Data'!$E$5:$E$504,'Market Data'!$A$5:$A$504,I172,'Market Data'!$B$5:$B$504,E172,'Market Data'!$D$5:$D$504,1))))</x:f>
      </x:c>
      <x:c r="M172" s="73" t="str">
        <x:f>IF(A172="","",L172*(1+IF(J172="Buy Order",Settings!$B$16,0)))</x:f>
      </x:c>
      <x:c r="N172" s="73" t="str">
        <x:f>IF(A172="","",G172*M172)</x:f>
      </x:c>
    </x:row>
    <x:row r="173">
      <x:c r="A173" s="42"/>
      <x:c r="B173" s="42"/>
      <x:c r="C173" s="42"/>
      <x:c r="D173" s="42"/>
      <x:c r="E173" s="42"/>
      <x:c r="F173" s="42"/>
      <x:c r="G173" s="70"/>
      <x:c r="H173" s="42"/>
      <x:c r="I173" s="42"/>
      <x:c r="J173" s="42"/>
      <x:c r="K173" s="72"/>
      <x:c r="L173" s="73" t="str">
        <x:f>IF(A173="","",IF(K173&gt;0,K173,IF(J173="Buy Order",SUMIFS('Market Data'!$F$5:$F$504,'Market Data'!$A$5:$A$504,I173,'Market Data'!$B$5:$B$504,E173,'Market Data'!$D$5:$D$504,1),SUMIFS('Market Data'!$E$5:$E$504,'Market Data'!$A$5:$A$504,I173,'Market Data'!$B$5:$B$504,E173,'Market Data'!$D$5:$D$504,1))))</x:f>
      </x:c>
      <x:c r="M173" s="73" t="str">
        <x:f>IF(A173="","",L173*(1+IF(J173="Buy Order",Settings!$B$16,0)))</x:f>
      </x:c>
      <x:c r="N173" s="73" t="str">
        <x:f>IF(A173="","",G173*M173)</x:f>
      </x:c>
    </x:row>
    <x:row r="174">
      <x:c r="A174" s="42"/>
      <x:c r="B174" s="42"/>
      <x:c r="C174" s="42"/>
      <x:c r="D174" s="42"/>
      <x:c r="E174" s="42"/>
      <x:c r="F174" s="42"/>
      <x:c r="G174" s="70"/>
      <x:c r="H174" s="42"/>
      <x:c r="I174" s="42"/>
      <x:c r="J174" s="42"/>
      <x:c r="K174" s="72"/>
      <x:c r="L174" s="73" t="str">
        <x:f>IF(A174="","",IF(K174&gt;0,K174,IF(J174="Buy Order",SUMIFS('Market Data'!$F$5:$F$504,'Market Data'!$A$5:$A$504,I174,'Market Data'!$B$5:$B$504,E174,'Market Data'!$D$5:$D$504,1),SUMIFS('Market Data'!$E$5:$E$504,'Market Data'!$A$5:$A$504,I174,'Market Data'!$B$5:$B$504,E174,'Market Data'!$D$5:$D$504,1))))</x:f>
      </x:c>
      <x:c r="M174" s="73" t="str">
        <x:f>IF(A174="","",L174*(1+IF(J174="Buy Order",Settings!$B$16,0)))</x:f>
      </x:c>
      <x:c r="N174" s="73" t="str">
        <x:f>IF(A174="","",G174*M174)</x:f>
      </x:c>
    </x:row>
    <x:row r="175">
      <x:c r="A175" s="42"/>
      <x:c r="B175" s="42"/>
      <x:c r="C175" s="42"/>
      <x:c r="D175" s="42"/>
      <x:c r="E175" s="42"/>
      <x:c r="F175" s="42"/>
      <x:c r="G175" s="70"/>
      <x:c r="H175" s="42"/>
      <x:c r="I175" s="42"/>
      <x:c r="J175" s="42"/>
      <x:c r="K175" s="72"/>
      <x:c r="L175" s="73" t="str">
        <x:f>IF(A175="","",IF(K175&gt;0,K175,IF(J175="Buy Order",SUMIFS('Market Data'!$F$5:$F$504,'Market Data'!$A$5:$A$504,I175,'Market Data'!$B$5:$B$504,E175,'Market Data'!$D$5:$D$504,1),SUMIFS('Market Data'!$E$5:$E$504,'Market Data'!$A$5:$A$504,I175,'Market Data'!$B$5:$B$504,E175,'Market Data'!$D$5:$D$504,1))))</x:f>
      </x:c>
      <x:c r="M175" s="73" t="str">
        <x:f>IF(A175="","",L175*(1+IF(J175="Buy Order",Settings!$B$16,0)))</x:f>
      </x:c>
      <x:c r="N175" s="73" t="str">
        <x:f>IF(A175="","",G175*M175)</x:f>
      </x:c>
    </x:row>
    <x:row r="176">
      <x:c r="A176" s="42"/>
      <x:c r="B176" s="42"/>
      <x:c r="C176" s="42"/>
      <x:c r="D176" s="42"/>
      <x:c r="E176" s="42"/>
      <x:c r="F176" s="42"/>
      <x:c r="G176" s="70"/>
      <x:c r="H176" s="42"/>
      <x:c r="I176" s="42"/>
      <x:c r="J176" s="42"/>
      <x:c r="K176" s="72"/>
      <x:c r="L176" s="73" t="str">
        <x:f>IF(A176="","",IF(K176&gt;0,K176,IF(J176="Buy Order",SUMIFS('Market Data'!$F$5:$F$504,'Market Data'!$A$5:$A$504,I176,'Market Data'!$B$5:$B$504,E176,'Market Data'!$D$5:$D$504,1),SUMIFS('Market Data'!$E$5:$E$504,'Market Data'!$A$5:$A$504,I176,'Market Data'!$B$5:$B$504,E176,'Market Data'!$D$5:$D$504,1))))</x:f>
      </x:c>
      <x:c r="M176" s="73" t="str">
        <x:f>IF(A176="","",L176*(1+IF(J176="Buy Order",Settings!$B$16,0)))</x:f>
      </x:c>
      <x:c r="N176" s="73" t="str">
        <x:f>IF(A176="","",G176*M176)</x:f>
      </x:c>
    </x:row>
    <x:row r="177">
      <x:c r="A177" s="42"/>
      <x:c r="B177" s="42"/>
      <x:c r="C177" s="42"/>
      <x:c r="D177" s="42"/>
      <x:c r="E177" s="42"/>
      <x:c r="F177" s="42"/>
      <x:c r="G177" s="70"/>
      <x:c r="H177" s="42"/>
      <x:c r="I177" s="42"/>
      <x:c r="J177" s="42"/>
      <x:c r="K177" s="72"/>
      <x:c r="L177" s="73" t="str">
        <x:f>IF(A177="","",IF(K177&gt;0,K177,IF(J177="Buy Order",SUMIFS('Market Data'!$F$5:$F$504,'Market Data'!$A$5:$A$504,I177,'Market Data'!$B$5:$B$504,E177,'Market Data'!$D$5:$D$504,1),SUMIFS('Market Data'!$E$5:$E$504,'Market Data'!$A$5:$A$504,I177,'Market Data'!$B$5:$B$504,E177,'Market Data'!$D$5:$D$504,1))))</x:f>
      </x:c>
      <x:c r="M177" s="73" t="str">
        <x:f>IF(A177="","",L177*(1+IF(J177="Buy Order",Settings!$B$16,0)))</x:f>
      </x:c>
      <x:c r="N177" s="73" t="str">
        <x:f>IF(A177="","",G177*M177)</x:f>
      </x:c>
    </x:row>
    <x:row r="178">
      <x:c r="A178" s="42"/>
      <x:c r="B178" s="42"/>
      <x:c r="C178" s="42"/>
      <x:c r="D178" s="42"/>
      <x:c r="E178" s="42"/>
      <x:c r="F178" s="42"/>
      <x:c r="G178" s="70"/>
      <x:c r="H178" s="42"/>
      <x:c r="I178" s="42"/>
      <x:c r="J178" s="42"/>
      <x:c r="K178" s="72"/>
      <x:c r="L178" s="73" t="str">
        <x:f>IF(A178="","",IF(K178&gt;0,K178,IF(J178="Buy Order",SUMIFS('Market Data'!$F$5:$F$504,'Market Data'!$A$5:$A$504,I178,'Market Data'!$B$5:$B$504,E178,'Market Data'!$D$5:$D$504,1),SUMIFS('Market Data'!$E$5:$E$504,'Market Data'!$A$5:$A$504,I178,'Market Data'!$B$5:$B$504,E178,'Market Data'!$D$5:$D$504,1))))</x:f>
      </x:c>
      <x:c r="M178" s="73" t="str">
        <x:f>IF(A178="","",L178*(1+IF(J178="Buy Order",Settings!$B$16,0)))</x:f>
      </x:c>
      <x:c r="N178" s="73" t="str">
        <x:f>IF(A178="","",G178*M178)</x:f>
      </x:c>
    </x:row>
    <x:row r="179">
      <x:c r="A179" s="42"/>
      <x:c r="B179" s="42"/>
      <x:c r="C179" s="42"/>
      <x:c r="D179" s="42"/>
      <x:c r="E179" s="42"/>
      <x:c r="F179" s="42"/>
      <x:c r="G179" s="70"/>
      <x:c r="H179" s="42"/>
      <x:c r="I179" s="42"/>
      <x:c r="J179" s="42"/>
      <x:c r="K179" s="72"/>
      <x:c r="L179" s="73" t="str">
        <x:f>IF(A179="","",IF(K179&gt;0,K179,IF(J179="Buy Order",SUMIFS('Market Data'!$F$5:$F$504,'Market Data'!$A$5:$A$504,I179,'Market Data'!$B$5:$B$504,E179,'Market Data'!$D$5:$D$504,1),SUMIFS('Market Data'!$E$5:$E$504,'Market Data'!$A$5:$A$504,I179,'Market Data'!$B$5:$B$504,E179,'Market Data'!$D$5:$D$504,1))))</x:f>
      </x:c>
      <x:c r="M179" s="73" t="str">
        <x:f>IF(A179="","",L179*(1+IF(J179="Buy Order",Settings!$B$16,0)))</x:f>
      </x:c>
      <x:c r="N179" s="73" t="str">
        <x:f>IF(A179="","",G179*M179)</x:f>
      </x:c>
    </x:row>
    <x:row r="180">
      <x:c r="A180" s="42"/>
      <x:c r="B180" s="42"/>
      <x:c r="C180" s="42"/>
      <x:c r="D180" s="42"/>
      <x:c r="E180" s="42"/>
      <x:c r="F180" s="42"/>
      <x:c r="G180" s="70"/>
      <x:c r="H180" s="42"/>
      <x:c r="I180" s="42"/>
      <x:c r="J180" s="42"/>
      <x:c r="K180" s="72"/>
      <x:c r="L180" s="73" t="str">
        <x:f>IF(A180="","",IF(K180&gt;0,K180,IF(J180="Buy Order",SUMIFS('Market Data'!$F$5:$F$504,'Market Data'!$A$5:$A$504,I180,'Market Data'!$B$5:$B$504,E180,'Market Data'!$D$5:$D$504,1),SUMIFS('Market Data'!$E$5:$E$504,'Market Data'!$A$5:$A$504,I180,'Market Data'!$B$5:$B$504,E180,'Market Data'!$D$5:$D$504,1))))</x:f>
      </x:c>
      <x:c r="M180" s="73" t="str">
        <x:f>IF(A180="","",L180*(1+IF(J180="Buy Order",Settings!$B$16,0)))</x:f>
      </x:c>
      <x:c r="N180" s="73" t="str">
        <x:f>IF(A180="","",G180*M180)</x:f>
      </x:c>
    </x:row>
    <x:row r="181">
      <x:c r="A181" s="42"/>
      <x:c r="B181" s="42"/>
      <x:c r="C181" s="42"/>
      <x:c r="D181" s="42"/>
      <x:c r="E181" s="42"/>
      <x:c r="F181" s="42"/>
      <x:c r="G181" s="70"/>
      <x:c r="H181" s="42"/>
      <x:c r="I181" s="42"/>
      <x:c r="J181" s="42"/>
      <x:c r="K181" s="72"/>
      <x:c r="L181" s="73" t="str">
        <x:f>IF(A181="","",IF(K181&gt;0,K181,IF(J181="Buy Order",SUMIFS('Market Data'!$F$5:$F$504,'Market Data'!$A$5:$A$504,I181,'Market Data'!$B$5:$B$504,E181,'Market Data'!$D$5:$D$504,1),SUMIFS('Market Data'!$E$5:$E$504,'Market Data'!$A$5:$A$504,I181,'Market Data'!$B$5:$B$504,E181,'Market Data'!$D$5:$D$504,1))))</x:f>
      </x:c>
      <x:c r="M181" s="73" t="str">
        <x:f>IF(A181="","",L181*(1+IF(J181="Buy Order",Settings!$B$16,0)))</x:f>
      </x:c>
      <x:c r="N181" s="73" t="str">
        <x:f>IF(A181="","",G181*M181)</x:f>
      </x:c>
    </x:row>
    <x:row r="182">
      <x:c r="A182" s="42"/>
      <x:c r="B182" s="42"/>
      <x:c r="C182" s="42"/>
      <x:c r="D182" s="42"/>
      <x:c r="E182" s="42"/>
      <x:c r="F182" s="42"/>
      <x:c r="G182" s="70"/>
      <x:c r="H182" s="42"/>
      <x:c r="I182" s="42"/>
      <x:c r="J182" s="42"/>
      <x:c r="K182" s="72"/>
      <x:c r="L182" s="73" t="str">
        <x:f>IF(A182="","",IF(K182&gt;0,K182,IF(J182="Buy Order",SUMIFS('Market Data'!$F$5:$F$504,'Market Data'!$A$5:$A$504,I182,'Market Data'!$B$5:$B$504,E182,'Market Data'!$D$5:$D$504,1),SUMIFS('Market Data'!$E$5:$E$504,'Market Data'!$A$5:$A$504,I182,'Market Data'!$B$5:$B$504,E182,'Market Data'!$D$5:$D$504,1))))</x:f>
      </x:c>
      <x:c r="M182" s="73" t="str">
        <x:f>IF(A182="","",L182*(1+IF(J182="Buy Order",Settings!$B$16,0)))</x:f>
      </x:c>
      <x:c r="N182" s="73" t="str">
        <x:f>IF(A182="","",G182*M182)</x:f>
      </x:c>
    </x:row>
    <x:row r="183">
      <x:c r="A183" s="42"/>
      <x:c r="B183" s="42"/>
      <x:c r="C183" s="42"/>
      <x:c r="D183" s="42"/>
      <x:c r="E183" s="42"/>
      <x:c r="F183" s="42"/>
      <x:c r="G183" s="70"/>
      <x:c r="H183" s="42"/>
      <x:c r="I183" s="42"/>
      <x:c r="J183" s="42"/>
      <x:c r="K183" s="72"/>
      <x:c r="L183" s="73" t="str">
        <x:f>IF(A183="","",IF(K183&gt;0,K183,IF(J183="Buy Order",SUMIFS('Market Data'!$F$5:$F$504,'Market Data'!$A$5:$A$504,I183,'Market Data'!$B$5:$B$504,E183,'Market Data'!$D$5:$D$504,1),SUMIFS('Market Data'!$E$5:$E$504,'Market Data'!$A$5:$A$504,I183,'Market Data'!$B$5:$B$504,E183,'Market Data'!$D$5:$D$504,1))))</x:f>
      </x:c>
      <x:c r="M183" s="73" t="str">
        <x:f>IF(A183="","",L183*(1+IF(J183="Buy Order",Settings!$B$16,0)))</x:f>
      </x:c>
      <x:c r="N183" s="73" t="str">
        <x:f>IF(A183="","",G183*M183)</x:f>
      </x:c>
    </x:row>
    <x:row r="184">
      <x:c r="A184" s="42"/>
      <x:c r="B184" s="42"/>
      <x:c r="C184" s="42"/>
      <x:c r="D184" s="42"/>
      <x:c r="E184" s="42"/>
      <x:c r="F184" s="42"/>
      <x:c r="G184" s="70"/>
      <x:c r="H184" s="42"/>
      <x:c r="I184" s="42"/>
      <x:c r="J184" s="42"/>
      <x:c r="K184" s="72"/>
      <x:c r="L184" s="73" t="str">
        <x:f>IF(A184="","",IF(K184&gt;0,K184,IF(J184="Buy Order",SUMIFS('Market Data'!$F$5:$F$504,'Market Data'!$A$5:$A$504,I184,'Market Data'!$B$5:$B$504,E184,'Market Data'!$D$5:$D$504,1),SUMIFS('Market Data'!$E$5:$E$504,'Market Data'!$A$5:$A$504,I184,'Market Data'!$B$5:$B$504,E184,'Market Data'!$D$5:$D$504,1))))</x:f>
      </x:c>
      <x:c r="M184" s="73" t="str">
        <x:f>IF(A184="","",L184*(1+IF(J184="Buy Order",Settings!$B$16,0)))</x:f>
      </x:c>
      <x:c r="N184" s="73" t="str">
        <x:f>IF(A184="","",G184*M184)</x:f>
      </x:c>
    </x:row>
    <x:row r="185">
      <x:c r="A185" s="42"/>
      <x:c r="B185" s="42"/>
      <x:c r="C185" s="42"/>
      <x:c r="D185" s="42"/>
      <x:c r="E185" s="42"/>
      <x:c r="F185" s="42"/>
      <x:c r="G185" s="70"/>
      <x:c r="H185" s="42"/>
      <x:c r="I185" s="42"/>
      <x:c r="J185" s="42"/>
      <x:c r="K185" s="72"/>
      <x:c r="L185" s="73" t="str">
        <x:f>IF(A185="","",IF(K185&gt;0,K185,IF(J185="Buy Order",SUMIFS('Market Data'!$F$5:$F$504,'Market Data'!$A$5:$A$504,I185,'Market Data'!$B$5:$B$504,E185,'Market Data'!$D$5:$D$504,1),SUMIFS('Market Data'!$E$5:$E$504,'Market Data'!$A$5:$A$504,I185,'Market Data'!$B$5:$B$504,E185,'Market Data'!$D$5:$D$504,1))))</x:f>
      </x:c>
      <x:c r="M185" s="73" t="str">
        <x:f>IF(A185="","",L185*(1+IF(J185="Buy Order",Settings!$B$16,0)))</x:f>
      </x:c>
      <x:c r="N185" s="73" t="str">
        <x:f>IF(A185="","",G185*M185)</x:f>
      </x:c>
    </x:row>
    <x:row r="186">
      <x:c r="A186" s="42"/>
      <x:c r="B186" s="42"/>
      <x:c r="C186" s="42"/>
      <x:c r="D186" s="42"/>
      <x:c r="E186" s="42"/>
      <x:c r="F186" s="42"/>
      <x:c r="G186" s="70"/>
      <x:c r="H186" s="42"/>
      <x:c r="I186" s="42"/>
      <x:c r="J186" s="42"/>
      <x:c r="K186" s="72"/>
      <x:c r="L186" s="73" t="str">
        <x:f>IF(A186="","",IF(K186&gt;0,K186,IF(J186="Buy Order",SUMIFS('Market Data'!$F$5:$F$504,'Market Data'!$A$5:$A$504,I186,'Market Data'!$B$5:$B$504,E186,'Market Data'!$D$5:$D$504,1),SUMIFS('Market Data'!$E$5:$E$504,'Market Data'!$A$5:$A$504,I186,'Market Data'!$B$5:$B$504,E186,'Market Data'!$D$5:$D$504,1))))</x:f>
      </x:c>
      <x:c r="M186" s="73" t="str">
        <x:f>IF(A186="","",L186*(1+IF(J186="Buy Order",Settings!$B$16,0)))</x:f>
      </x:c>
      <x:c r="N186" s="73" t="str">
        <x:f>IF(A186="","",G186*M186)</x:f>
      </x:c>
    </x:row>
    <x:row r="187">
      <x:c r="A187" s="42"/>
      <x:c r="B187" s="42"/>
      <x:c r="C187" s="42"/>
      <x:c r="D187" s="42"/>
      <x:c r="E187" s="42"/>
      <x:c r="F187" s="42"/>
      <x:c r="G187" s="70"/>
      <x:c r="H187" s="42"/>
      <x:c r="I187" s="42"/>
      <x:c r="J187" s="42"/>
      <x:c r="K187" s="72"/>
      <x:c r="L187" s="73" t="str">
        <x:f>IF(A187="","",IF(K187&gt;0,K187,IF(J187="Buy Order",SUMIFS('Market Data'!$F$5:$F$504,'Market Data'!$A$5:$A$504,I187,'Market Data'!$B$5:$B$504,E187,'Market Data'!$D$5:$D$504,1),SUMIFS('Market Data'!$E$5:$E$504,'Market Data'!$A$5:$A$504,I187,'Market Data'!$B$5:$B$504,E187,'Market Data'!$D$5:$D$504,1))))</x:f>
      </x:c>
      <x:c r="M187" s="73" t="str">
        <x:f>IF(A187="","",L187*(1+IF(J187="Buy Order",Settings!$B$16,0)))</x:f>
      </x:c>
      <x:c r="N187" s="73" t="str">
        <x:f>IF(A187="","",G187*M187)</x:f>
      </x:c>
    </x:row>
    <x:row r="188">
      <x:c r="A188" s="42"/>
      <x:c r="B188" s="42"/>
      <x:c r="C188" s="42"/>
      <x:c r="D188" s="42"/>
      <x:c r="E188" s="42"/>
      <x:c r="F188" s="42"/>
      <x:c r="G188" s="70"/>
      <x:c r="H188" s="42"/>
      <x:c r="I188" s="42"/>
      <x:c r="J188" s="42"/>
      <x:c r="K188" s="72"/>
      <x:c r="L188" s="73" t="str">
        <x:f>IF(A188="","",IF(K188&gt;0,K188,IF(J188="Buy Order",SUMIFS('Market Data'!$F$5:$F$504,'Market Data'!$A$5:$A$504,I188,'Market Data'!$B$5:$B$504,E188,'Market Data'!$D$5:$D$504,1),SUMIFS('Market Data'!$E$5:$E$504,'Market Data'!$A$5:$A$504,I188,'Market Data'!$B$5:$B$504,E188,'Market Data'!$D$5:$D$504,1))))</x:f>
      </x:c>
      <x:c r="M188" s="73" t="str">
        <x:f>IF(A188="","",L188*(1+IF(J188="Buy Order",Settings!$B$16,0)))</x:f>
      </x:c>
      <x:c r="N188" s="73" t="str">
        <x:f>IF(A188="","",G188*M188)</x:f>
      </x:c>
    </x:row>
    <x:row r="189">
      <x:c r="A189" s="42"/>
      <x:c r="B189" s="42"/>
      <x:c r="C189" s="42"/>
      <x:c r="D189" s="42"/>
      <x:c r="E189" s="42"/>
      <x:c r="F189" s="42"/>
      <x:c r="G189" s="70"/>
      <x:c r="H189" s="42"/>
      <x:c r="I189" s="42"/>
      <x:c r="J189" s="42"/>
      <x:c r="K189" s="72"/>
      <x:c r="L189" s="73" t="str">
        <x:f>IF(A189="","",IF(K189&gt;0,K189,IF(J189="Buy Order",SUMIFS('Market Data'!$F$5:$F$504,'Market Data'!$A$5:$A$504,I189,'Market Data'!$B$5:$B$504,E189,'Market Data'!$D$5:$D$504,1),SUMIFS('Market Data'!$E$5:$E$504,'Market Data'!$A$5:$A$504,I189,'Market Data'!$B$5:$B$504,E189,'Market Data'!$D$5:$D$504,1))))</x:f>
      </x:c>
      <x:c r="M189" s="73" t="str">
        <x:f>IF(A189="","",L189*(1+IF(J189="Buy Order",Settings!$B$16,0)))</x:f>
      </x:c>
      <x:c r="N189" s="73" t="str">
        <x:f>IF(A189="","",G189*M189)</x:f>
      </x:c>
    </x:row>
    <x:row r="190">
      <x:c r="A190" s="42"/>
      <x:c r="B190" s="42"/>
      <x:c r="C190" s="42"/>
      <x:c r="D190" s="42"/>
      <x:c r="E190" s="42"/>
      <x:c r="F190" s="42"/>
      <x:c r="G190" s="70"/>
      <x:c r="H190" s="42"/>
      <x:c r="I190" s="42"/>
      <x:c r="J190" s="42"/>
      <x:c r="K190" s="72"/>
      <x:c r="L190" s="73" t="str">
        <x:f>IF(A190="","",IF(K190&gt;0,K190,IF(J190="Buy Order",SUMIFS('Market Data'!$F$5:$F$504,'Market Data'!$A$5:$A$504,I190,'Market Data'!$B$5:$B$504,E190,'Market Data'!$D$5:$D$504,1),SUMIFS('Market Data'!$E$5:$E$504,'Market Data'!$A$5:$A$504,I190,'Market Data'!$B$5:$B$504,E190,'Market Data'!$D$5:$D$504,1))))</x:f>
      </x:c>
      <x:c r="M190" s="73" t="str">
        <x:f>IF(A190="","",L190*(1+IF(J190="Buy Order",Settings!$B$16,0)))</x:f>
      </x:c>
      <x:c r="N190" s="73" t="str">
        <x:f>IF(A190="","",G190*M190)</x:f>
      </x:c>
    </x:row>
    <x:row r="191">
      <x:c r="A191" s="42"/>
      <x:c r="B191" s="42"/>
      <x:c r="C191" s="42"/>
      <x:c r="D191" s="42"/>
      <x:c r="E191" s="42"/>
      <x:c r="F191" s="42"/>
      <x:c r="G191" s="70"/>
      <x:c r="H191" s="42"/>
      <x:c r="I191" s="42"/>
      <x:c r="J191" s="42"/>
      <x:c r="K191" s="72"/>
      <x:c r="L191" s="73" t="str">
        <x:f>IF(A191="","",IF(K191&gt;0,K191,IF(J191="Buy Order",SUMIFS('Market Data'!$F$5:$F$504,'Market Data'!$A$5:$A$504,I191,'Market Data'!$B$5:$B$504,E191,'Market Data'!$D$5:$D$504,1),SUMIFS('Market Data'!$E$5:$E$504,'Market Data'!$A$5:$A$504,I191,'Market Data'!$B$5:$B$504,E191,'Market Data'!$D$5:$D$504,1))))</x:f>
      </x:c>
      <x:c r="M191" s="73" t="str">
        <x:f>IF(A191="","",L191*(1+IF(J191="Buy Order",Settings!$B$16,0)))</x:f>
      </x:c>
      <x:c r="N191" s="73" t="str">
        <x:f>IF(A191="","",G191*M191)</x:f>
      </x:c>
    </x:row>
    <x:row r="192">
      <x:c r="A192" s="42"/>
      <x:c r="B192" s="42"/>
      <x:c r="C192" s="42"/>
      <x:c r="D192" s="42"/>
      <x:c r="E192" s="42"/>
      <x:c r="F192" s="42"/>
      <x:c r="G192" s="70"/>
      <x:c r="H192" s="42"/>
      <x:c r="I192" s="42"/>
      <x:c r="J192" s="42"/>
      <x:c r="K192" s="72"/>
      <x:c r="L192" s="73" t="str">
        <x:f>IF(A192="","",IF(K192&gt;0,K192,IF(J192="Buy Order",SUMIFS('Market Data'!$F$5:$F$504,'Market Data'!$A$5:$A$504,I192,'Market Data'!$B$5:$B$504,E192,'Market Data'!$D$5:$D$504,1),SUMIFS('Market Data'!$E$5:$E$504,'Market Data'!$A$5:$A$504,I192,'Market Data'!$B$5:$B$504,E192,'Market Data'!$D$5:$D$504,1))))</x:f>
      </x:c>
      <x:c r="M192" s="73" t="str">
        <x:f>IF(A192="","",L192*(1+IF(J192="Buy Order",Settings!$B$16,0)))</x:f>
      </x:c>
      <x:c r="N192" s="73" t="str">
        <x:f>IF(A192="","",G192*M192)</x:f>
      </x:c>
    </x:row>
    <x:row r="193">
      <x:c r="A193" s="42"/>
      <x:c r="B193" s="42"/>
      <x:c r="C193" s="42"/>
      <x:c r="D193" s="42"/>
      <x:c r="E193" s="42"/>
      <x:c r="F193" s="42"/>
      <x:c r="G193" s="70"/>
      <x:c r="H193" s="42"/>
      <x:c r="I193" s="42"/>
      <x:c r="J193" s="42"/>
      <x:c r="K193" s="72"/>
      <x:c r="L193" s="73" t="str">
        <x:f>IF(A193="","",IF(K193&gt;0,K193,IF(J193="Buy Order",SUMIFS('Market Data'!$F$5:$F$504,'Market Data'!$A$5:$A$504,I193,'Market Data'!$B$5:$B$504,E193,'Market Data'!$D$5:$D$504,1),SUMIFS('Market Data'!$E$5:$E$504,'Market Data'!$A$5:$A$504,I193,'Market Data'!$B$5:$B$504,E193,'Market Data'!$D$5:$D$504,1))))</x:f>
      </x:c>
      <x:c r="M193" s="73" t="str">
        <x:f>IF(A193="","",L193*(1+IF(J193="Buy Order",Settings!$B$16,0)))</x:f>
      </x:c>
      <x:c r="N193" s="73" t="str">
        <x:f>IF(A193="","",G193*M193)</x:f>
      </x:c>
    </x:row>
    <x:row r="194">
      <x:c r="A194" s="42"/>
      <x:c r="B194" s="42"/>
      <x:c r="C194" s="42"/>
      <x:c r="D194" s="42"/>
      <x:c r="E194" s="42"/>
      <x:c r="F194" s="42"/>
      <x:c r="G194" s="70"/>
      <x:c r="H194" s="42"/>
      <x:c r="I194" s="42"/>
      <x:c r="J194" s="42"/>
      <x:c r="K194" s="72"/>
      <x:c r="L194" s="73" t="str">
        <x:f>IF(A194="","",IF(K194&gt;0,K194,IF(J194="Buy Order",SUMIFS('Market Data'!$F$5:$F$504,'Market Data'!$A$5:$A$504,I194,'Market Data'!$B$5:$B$504,E194,'Market Data'!$D$5:$D$504,1),SUMIFS('Market Data'!$E$5:$E$504,'Market Data'!$A$5:$A$504,I194,'Market Data'!$B$5:$B$504,E194,'Market Data'!$D$5:$D$504,1))))</x:f>
      </x:c>
      <x:c r="M194" s="73" t="str">
        <x:f>IF(A194="","",L194*(1+IF(J194="Buy Order",Settings!$B$16,0)))</x:f>
      </x:c>
      <x:c r="N194" s="73" t="str">
        <x:f>IF(A194="","",G194*M194)</x:f>
      </x:c>
    </x:row>
    <x:row r="195">
      <x:c r="A195" s="42"/>
      <x:c r="B195" s="42"/>
      <x:c r="C195" s="42"/>
      <x:c r="D195" s="42"/>
      <x:c r="E195" s="42"/>
      <x:c r="F195" s="42"/>
      <x:c r="G195" s="70"/>
      <x:c r="H195" s="42"/>
      <x:c r="I195" s="42"/>
      <x:c r="J195" s="42"/>
      <x:c r="K195" s="72"/>
      <x:c r="L195" s="73" t="str">
        <x:f>IF(A195="","",IF(K195&gt;0,K195,IF(J195="Buy Order",SUMIFS('Market Data'!$F$5:$F$504,'Market Data'!$A$5:$A$504,I195,'Market Data'!$B$5:$B$504,E195,'Market Data'!$D$5:$D$504,1),SUMIFS('Market Data'!$E$5:$E$504,'Market Data'!$A$5:$A$504,I195,'Market Data'!$B$5:$B$504,E195,'Market Data'!$D$5:$D$504,1))))</x:f>
      </x:c>
      <x:c r="M195" s="73" t="str">
        <x:f>IF(A195="","",L195*(1+IF(J195="Buy Order",Settings!$B$16,0)))</x:f>
      </x:c>
      <x:c r="N195" s="73" t="str">
        <x:f>IF(A195="","",G195*M195)</x:f>
      </x:c>
    </x:row>
    <x:row r="196">
      <x:c r="A196" s="42"/>
      <x:c r="B196" s="42"/>
      <x:c r="C196" s="42"/>
      <x:c r="D196" s="42"/>
      <x:c r="E196" s="42"/>
      <x:c r="F196" s="42"/>
      <x:c r="G196" s="70"/>
      <x:c r="H196" s="42"/>
      <x:c r="I196" s="42"/>
      <x:c r="J196" s="42"/>
      <x:c r="K196" s="72"/>
      <x:c r="L196" s="73" t="str">
        <x:f>IF(A196="","",IF(K196&gt;0,K196,IF(J196="Buy Order",SUMIFS('Market Data'!$F$5:$F$504,'Market Data'!$A$5:$A$504,I196,'Market Data'!$B$5:$B$504,E196,'Market Data'!$D$5:$D$504,1),SUMIFS('Market Data'!$E$5:$E$504,'Market Data'!$A$5:$A$504,I196,'Market Data'!$B$5:$B$504,E196,'Market Data'!$D$5:$D$504,1))))</x:f>
      </x:c>
      <x:c r="M196" s="73" t="str">
        <x:f>IF(A196="","",L196*(1+IF(J196="Buy Order",Settings!$B$16,0)))</x:f>
      </x:c>
      <x:c r="N196" s="73" t="str">
        <x:f>IF(A196="","",G196*M196)</x:f>
      </x:c>
    </x:row>
    <x:row r="197">
      <x:c r="A197" s="42"/>
      <x:c r="B197" s="42"/>
      <x:c r="C197" s="42"/>
      <x:c r="D197" s="42"/>
      <x:c r="E197" s="42"/>
      <x:c r="F197" s="42"/>
      <x:c r="G197" s="70"/>
      <x:c r="H197" s="42"/>
      <x:c r="I197" s="42"/>
      <x:c r="J197" s="42"/>
      <x:c r="K197" s="72"/>
      <x:c r="L197" s="73" t="str">
        <x:f>IF(A197="","",IF(K197&gt;0,K197,IF(J197="Buy Order",SUMIFS('Market Data'!$F$5:$F$504,'Market Data'!$A$5:$A$504,I197,'Market Data'!$B$5:$B$504,E197,'Market Data'!$D$5:$D$504,1),SUMIFS('Market Data'!$E$5:$E$504,'Market Data'!$A$5:$A$504,I197,'Market Data'!$B$5:$B$504,E197,'Market Data'!$D$5:$D$504,1))))</x:f>
      </x:c>
      <x:c r="M197" s="73" t="str">
        <x:f>IF(A197="","",L197*(1+IF(J197="Buy Order",Settings!$B$16,0)))</x:f>
      </x:c>
      <x:c r="N197" s="73" t="str">
        <x:f>IF(A197="","",G197*M197)</x:f>
      </x:c>
    </x:row>
    <x:row r="198">
      <x:c r="A198" s="42"/>
      <x:c r="B198" s="42"/>
      <x:c r="C198" s="42"/>
      <x:c r="D198" s="42"/>
      <x:c r="E198" s="42"/>
      <x:c r="F198" s="42"/>
      <x:c r="G198" s="70"/>
      <x:c r="H198" s="42"/>
      <x:c r="I198" s="42"/>
      <x:c r="J198" s="42"/>
      <x:c r="K198" s="72"/>
      <x:c r="L198" s="73" t="str">
        <x:f>IF(A198="","",IF(K198&gt;0,K198,IF(J198="Buy Order",SUMIFS('Market Data'!$F$5:$F$504,'Market Data'!$A$5:$A$504,I198,'Market Data'!$B$5:$B$504,E198,'Market Data'!$D$5:$D$504,1),SUMIFS('Market Data'!$E$5:$E$504,'Market Data'!$A$5:$A$504,I198,'Market Data'!$B$5:$B$504,E198,'Market Data'!$D$5:$D$504,1))))</x:f>
      </x:c>
      <x:c r="M198" s="73" t="str">
        <x:f>IF(A198="","",L198*(1+IF(J198="Buy Order",Settings!$B$16,0)))</x:f>
      </x:c>
      <x:c r="N198" s="73" t="str">
        <x:f>IF(A198="","",G198*M198)</x:f>
      </x:c>
    </x:row>
    <x:row r="199">
      <x:c r="A199" s="42"/>
      <x:c r="B199" s="42"/>
      <x:c r="C199" s="42"/>
      <x:c r="D199" s="42"/>
      <x:c r="E199" s="42"/>
      <x:c r="F199" s="42"/>
      <x:c r="G199" s="70"/>
      <x:c r="H199" s="42"/>
      <x:c r="I199" s="42"/>
      <x:c r="J199" s="42"/>
      <x:c r="K199" s="72"/>
      <x:c r="L199" s="73" t="str">
        <x:f>IF(A199="","",IF(K199&gt;0,K199,IF(J199="Buy Order",SUMIFS('Market Data'!$F$5:$F$504,'Market Data'!$A$5:$A$504,I199,'Market Data'!$B$5:$B$504,E199,'Market Data'!$D$5:$D$504,1),SUMIFS('Market Data'!$E$5:$E$504,'Market Data'!$A$5:$A$504,I199,'Market Data'!$B$5:$B$504,E199,'Market Data'!$D$5:$D$504,1))))</x:f>
      </x:c>
      <x:c r="M199" s="73" t="str">
        <x:f>IF(A199="","",L199*(1+IF(J199="Buy Order",Settings!$B$16,0)))</x:f>
      </x:c>
      <x:c r="N199" s="73" t="str">
        <x:f>IF(A199="","",G199*M199)</x:f>
      </x:c>
    </x:row>
    <x:row r="200">
      <x:c r="A200" s="42"/>
      <x:c r="B200" s="42"/>
      <x:c r="C200" s="42"/>
      <x:c r="D200" s="42"/>
      <x:c r="E200" s="42"/>
      <x:c r="F200" s="42"/>
      <x:c r="G200" s="70"/>
      <x:c r="H200" s="42"/>
      <x:c r="I200" s="42"/>
      <x:c r="J200" s="42"/>
      <x:c r="K200" s="72"/>
      <x:c r="L200" s="73" t="str">
        <x:f>IF(A200="","",IF(K200&gt;0,K200,IF(J200="Buy Order",SUMIFS('Market Data'!$F$5:$F$504,'Market Data'!$A$5:$A$504,I200,'Market Data'!$B$5:$B$504,E200,'Market Data'!$D$5:$D$504,1),SUMIFS('Market Data'!$E$5:$E$504,'Market Data'!$A$5:$A$504,I200,'Market Data'!$B$5:$B$504,E200,'Market Data'!$D$5:$D$504,1))))</x:f>
      </x:c>
      <x:c r="M200" s="73" t="str">
        <x:f>IF(A200="","",L200*(1+IF(J200="Buy Order",Settings!$B$16,0)))</x:f>
      </x:c>
      <x:c r="N200" s="73" t="str">
        <x:f>IF(A200="","",G200*M200)</x:f>
      </x:c>
    </x:row>
    <x:row r="201">
      <x:c r="A201" s="42"/>
      <x:c r="B201" s="42"/>
      <x:c r="C201" s="42"/>
      <x:c r="D201" s="42"/>
      <x:c r="E201" s="42"/>
      <x:c r="F201" s="42"/>
      <x:c r="G201" s="70"/>
      <x:c r="H201" s="42"/>
      <x:c r="I201" s="42"/>
      <x:c r="J201" s="42"/>
      <x:c r="K201" s="72"/>
      <x:c r="L201" s="73" t="str">
        <x:f>IF(A201="","",IF(K201&gt;0,K201,IF(J201="Buy Order",SUMIFS('Market Data'!$F$5:$F$504,'Market Data'!$A$5:$A$504,I201,'Market Data'!$B$5:$B$504,E201,'Market Data'!$D$5:$D$504,1),SUMIFS('Market Data'!$E$5:$E$504,'Market Data'!$A$5:$A$504,I201,'Market Data'!$B$5:$B$504,E201,'Market Data'!$D$5:$D$504,1))))</x:f>
      </x:c>
      <x:c r="M201" s="73" t="str">
        <x:f>IF(A201="","",L201*(1+IF(J201="Buy Order",Settings!$B$16,0)))</x:f>
      </x:c>
      <x:c r="N201" s="73" t="str">
        <x:f>IF(A201="","",G201*M201)</x:f>
      </x:c>
    </x:row>
    <x:row r="202">
      <x:c r="A202" s="42"/>
      <x:c r="B202" s="42"/>
      <x:c r="C202" s="42"/>
      <x:c r="D202" s="42"/>
      <x:c r="E202" s="42"/>
      <x:c r="F202" s="42"/>
      <x:c r="G202" s="70"/>
      <x:c r="H202" s="42"/>
      <x:c r="I202" s="42"/>
      <x:c r="J202" s="42"/>
      <x:c r="K202" s="72"/>
      <x:c r="L202" s="73" t="str">
        <x:f>IF(A202="","",IF(K202&gt;0,K202,IF(J202="Buy Order",SUMIFS('Market Data'!$F$5:$F$504,'Market Data'!$A$5:$A$504,I202,'Market Data'!$B$5:$B$504,E202,'Market Data'!$D$5:$D$504,1),SUMIFS('Market Data'!$E$5:$E$504,'Market Data'!$A$5:$A$504,I202,'Market Data'!$B$5:$B$504,E202,'Market Data'!$D$5:$D$504,1))))</x:f>
      </x:c>
      <x:c r="M202" s="73" t="str">
        <x:f>IF(A202="","",L202*(1+IF(J202="Buy Order",Settings!$B$16,0)))</x:f>
      </x:c>
      <x:c r="N202" s="73" t="str">
        <x:f>IF(A202="","",G202*M202)</x:f>
      </x:c>
    </x:row>
    <x:row r="203">
      <x:c r="A203" s="42"/>
      <x:c r="B203" s="42"/>
      <x:c r="C203" s="42"/>
      <x:c r="D203" s="42"/>
      <x:c r="E203" s="42"/>
      <x:c r="F203" s="42"/>
      <x:c r="G203" s="70"/>
      <x:c r="H203" s="42"/>
      <x:c r="I203" s="42"/>
      <x:c r="J203" s="42"/>
      <x:c r="K203" s="72"/>
      <x:c r="L203" s="73" t="str">
        <x:f>IF(A203="","",IF(K203&gt;0,K203,IF(J203="Buy Order",SUMIFS('Market Data'!$F$5:$F$504,'Market Data'!$A$5:$A$504,I203,'Market Data'!$B$5:$B$504,E203,'Market Data'!$D$5:$D$504,1),SUMIFS('Market Data'!$E$5:$E$504,'Market Data'!$A$5:$A$504,I203,'Market Data'!$B$5:$B$504,E203,'Market Data'!$D$5:$D$504,1))))</x:f>
      </x:c>
      <x:c r="M203" s="73" t="str">
        <x:f>IF(A203="","",L203*(1+IF(J203="Buy Order",Settings!$B$16,0)))</x:f>
      </x:c>
      <x:c r="N203" s="73" t="str">
        <x:f>IF(A203="","",G203*M203)</x:f>
      </x:c>
    </x:row>
    <x:row r="204">
      <x:c r="A204" s="42"/>
      <x:c r="B204" s="42"/>
      <x:c r="C204" s="42"/>
      <x:c r="D204" s="42"/>
      <x:c r="E204" s="42"/>
      <x:c r="F204" s="42"/>
      <x:c r="G204" s="70"/>
      <x:c r="H204" s="42"/>
      <x:c r="I204" s="42"/>
      <x:c r="J204" s="42"/>
      <x:c r="K204" s="72"/>
      <x:c r="L204" s="73" t="str">
        <x:f>IF(A204="","",IF(K204&gt;0,K204,IF(J204="Buy Order",SUMIFS('Market Data'!$F$5:$F$504,'Market Data'!$A$5:$A$504,I204,'Market Data'!$B$5:$B$504,E204,'Market Data'!$D$5:$D$504,1),SUMIFS('Market Data'!$E$5:$E$504,'Market Data'!$A$5:$A$504,I204,'Market Data'!$B$5:$B$504,E204,'Market Data'!$D$5:$D$504,1))))</x:f>
      </x:c>
      <x:c r="M204" s="73" t="str">
        <x:f>IF(A204="","",L204*(1+IF(J204="Buy Order",Settings!$B$16,0)))</x:f>
      </x:c>
      <x:c r="N204" s="73" t="str">
        <x:f>IF(A204="","",G204*M204)</x:f>
      </x:c>
    </x:row>
    <x:row r="205">
      <x:c r="A205" s="42"/>
      <x:c r="B205" s="42"/>
      <x:c r="C205" s="42"/>
      <x:c r="D205" s="42"/>
      <x:c r="E205" s="42"/>
      <x:c r="F205" s="42"/>
      <x:c r="G205" s="70"/>
      <x:c r="H205" s="42"/>
      <x:c r="I205" s="42"/>
      <x:c r="J205" s="42"/>
      <x:c r="K205" s="72"/>
      <x:c r="L205" s="73" t="str">
        <x:f>IF(A205="","",IF(K205&gt;0,K205,IF(J205="Buy Order",SUMIFS('Market Data'!$F$5:$F$504,'Market Data'!$A$5:$A$504,I205,'Market Data'!$B$5:$B$504,E205,'Market Data'!$D$5:$D$504,1),SUMIFS('Market Data'!$E$5:$E$504,'Market Data'!$A$5:$A$504,I205,'Market Data'!$B$5:$B$504,E205,'Market Data'!$D$5:$D$504,1))))</x:f>
      </x:c>
      <x:c r="M205" s="73" t="str">
        <x:f>IF(A205="","",L205*(1+IF(J205="Buy Order",Settings!$B$16,0)))</x:f>
      </x:c>
      <x:c r="N205" s="73" t="str">
        <x:f>IF(A205="","",G205*M205)</x:f>
      </x:c>
    </x:row>
    <x:row r="206">
      <x:c r="A206" s="42"/>
      <x:c r="B206" s="42"/>
      <x:c r="C206" s="42"/>
      <x:c r="D206" s="42"/>
      <x:c r="E206" s="42"/>
      <x:c r="F206" s="42"/>
      <x:c r="G206" s="70"/>
      <x:c r="H206" s="42"/>
      <x:c r="I206" s="42"/>
      <x:c r="J206" s="42"/>
      <x:c r="K206" s="72"/>
      <x:c r="L206" s="73" t="str">
        <x:f>IF(A206="","",IF(K206&gt;0,K206,IF(J206="Buy Order",SUMIFS('Market Data'!$F$5:$F$504,'Market Data'!$A$5:$A$504,I206,'Market Data'!$B$5:$B$504,E206,'Market Data'!$D$5:$D$504,1),SUMIFS('Market Data'!$E$5:$E$504,'Market Data'!$A$5:$A$504,I206,'Market Data'!$B$5:$B$504,E206,'Market Data'!$D$5:$D$504,1))))</x:f>
      </x:c>
      <x:c r="M206" s="73" t="str">
        <x:f>IF(A206="","",L206*(1+IF(J206="Buy Order",Settings!$B$16,0)))</x:f>
      </x:c>
      <x:c r="N206" s="73" t="str">
        <x:f>IF(A206="","",G206*M206)</x:f>
      </x:c>
    </x:row>
    <x:row r="207">
      <x:c r="A207" s="42"/>
      <x:c r="B207" s="42"/>
      <x:c r="C207" s="42"/>
      <x:c r="D207" s="42"/>
      <x:c r="E207" s="42"/>
      <x:c r="F207" s="42"/>
      <x:c r="G207" s="70"/>
      <x:c r="H207" s="42"/>
      <x:c r="I207" s="42"/>
      <x:c r="J207" s="42"/>
      <x:c r="K207" s="72"/>
      <x:c r="L207" s="73" t="str">
        <x:f>IF(A207="","",IF(K207&gt;0,K207,IF(J207="Buy Order",SUMIFS('Market Data'!$F$5:$F$504,'Market Data'!$A$5:$A$504,I207,'Market Data'!$B$5:$B$504,E207,'Market Data'!$D$5:$D$504,1),SUMIFS('Market Data'!$E$5:$E$504,'Market Data'!$A$5:$A$504,I207,'Market Data'!$B$5:$B$504,E207,'Market Data'!$D$5:$D$504,1))))</x:f>
      </x:c>
      <x:c r="M207" s="73" t="str">
        <x:f>IF(A207="","",L207*(1+IF(J207="Buy Order",Settings!$B$16,0)))</x:f>
      </x:c>
      <x:c r="N207" s="73" t="str">
        <x:f>IF(A207="","",G207*M207)</x:f>
      </x:c>
    </x:row>
    <x:row r="208">
      <x:c r="A208" s="42"/>
      <x:c r="B208" s="42"/>
      <x:c r="C208" s="42"/>
      <x:c r="D208" s="42"/>
      <x:c r="E208" s="42"/>
      <x:c r="F208" s="42"/>
      <x:c r="G208" s="70"/>
      <x:c r="H208" s="42"/>
      <x:c r="I208" s="42"/>
      <x:c r="J208" s="42"/>
      <x:c r="K208" s="72"/>
      <x:c r="L208" s="73" t="str">
        <x:f>IF(A208="","",IF(K208&gt;0,K208,IF(J208="Buy Order",SUMIFS('Market Data'!$F$5:$F$504,'Market Data'!$A$5:$A$504,I208,'Market Data'!$B$5:$B$504,E208,'Market Data'!$D$5:$D$504,1),SUMIFS('Market Data'!$E$5:$E$504,'Market Data'!$A$5:$A$504,I208,'Market Data'!$B$5:$B$504,E208,'Market Data'!$D$5:$D$504,1))))</x:f>
      </x:c>
      <x:c r="M208" s="73" t="str">
        <x:f>IF(A208="","",L208*(1+IF(J208="Buy Order",Settings!$B$16,0)))</x:f>
      </x:c>
      <x:c r="N208" s="73" t="str">
        <x:f>IF(A208="","",G208*M208)</x:f>
      </x:c>
    </x:row>
    <x:row r="209">
      <x:c r="A209" s="42"/>
      <x:c r="B209" s="42"/>
      <x:c r="C209" s="42"/>
      <x:c r="D209" s="42"/>
      <x:c r="E209" s="42"/>
      <x:c r="F209" s="42"/>
      <x:c r="G209" s="70"/>
      <x:c r="H209" s="42"/>
      <x:c r="I209" s="42"/>
      <x:c r="J209" s="42"/>
      <x:c r="K209" s="72"/>
      <x:c r="L209" s="73" t="str">
        <x:f>IF(A209="","",IF(K209&gt;0,K209,IF(J209="Buy Order",SUMIFS('Market Data'!$F$5:$F$504,'Market Data'!$A$5:$A$504,I209,'Market Data'!$B$5:$B$504,E209,'Market Data'!$D$5:$D$504,1),SUMIFS('Market Data'!$E$5:$E$504,'Market Data'!$A$5:$A$504,I209,'Market Data'!$B$5:$B$504,E209,'Market Data'!$D$5:$D$504,1))))</x:f>
      </x:c>
      <x:c r="M209" s="73" t="str">
        <x:f>IF(A209="","",L209*(1+IF(J209="Buy Order",Settings!$B$16,0)))</x:f>
      </x:c>
      <x:c r="N209" s="73" t="str">
        <x:f>IF(A209="","",G209*M209)</x:f>
      </x:c>
    </x:row>
    <x:row r="210">
      <x:c r="A210" s="42"/>
      <x:c r="B210" s="42"/>
      <x:c r="C210" s="42"/>
      <x:c r="D210" s="42"/>
      <x:c r="E210" s="42"/>
      <x:c r="F210" s="42"/>
      <x:c r="G210" s="70"/>
      <x:c r="H210" s="42"/>
      <x:c r="I210" s="42"/>
      <x:c r="J210" s="42"/>
      <x:c r="K210" s="72"/>
      <x:c r="L210" s="73" t="str">
        <x:f>IF(A210="","",IF(K210&gt;0,K210,IF(J210="Buy Order",SUMIFS('Market Data'!$F$5:$F$504,'Market Data'!$A$5:$A$504,I210,'Market Data'!$B$5:$B$504,E210,'Market Data'!$D$5:$D$504,1),SUMIFS('Market Data'!$E$5:$E$504,'Market Data'!$A$5:$A$504,I210,'Market Data'!$B$5:$B$504,E210,'Market Data'!$D$5:$D$504,1))))</x:f>
      </x:c>
      <x:c r="M210" s="73" t="str">
        <x:f>IF(A210="","",L210*(1+IF(J210="Buy Order",Settings!$B$16,0)))</x:f>
      </x:c>
      <x:c r="N210" s="73" t="str">
        <x:f>IF(A210="","",G210*M210)</x:f>
      </x:c>
    </x:row>
    <x:row r="211">
      <x:c r="A211" s="42"/>
      <x:c r="B211" s="42"/>
      <x:c r="C211" s="42"/>
      <x:c r="D211" s="42"/>
      <x:c r="E211" s="42"/>
      <x:c r="F211" s="42"/>
      <x:c r="G211" s="70"/>
      <x:c r="H211" s="42"/>
      <x:c r="I211" s="42"/>
      <x:c r="J211" s="42"/>
      <x:c r="K211" s="72"/>
      <x:c r="L211" s="73" t="str">
        <x:f>IF(A211="","",IF(K211&gt;0,K211,IF(J211="Buy Order",SUMIFS('Market Data'!$F$5:$F$504,'Market Data'!$A$5:$A$504,I211,'Market Data'!$B$5:$B$504,E211,'Market Data'!$D$5:$D$504,1),SUMIFS('Market Data'!$E$5:$E$504,'Market Data'!$A$5:$A$504,I211,'Market Data'!$B$5:$B$504,E211,'Market Data'!$D$5:$D$504,1))))</x:f>
      </x:c>
      <x:c r="M211" s="73" t="str">
        <x:f>IF(A211="","",L211*(1+IF(J211="Buy Order",Settings!$B$16,0)))</x:f>
      </x:c>
      <x:c r="N211" s="73" t="str">
        <x:f>IF(A211="","",G211*M211)</x:f>
      </x:c>
    </x:row>
    <x:row r="212">
      <x:c r="A212" s="42"/>
      <x:c r="B212" s="42"/>
      <x:c r="C212" s="42"/>
      <x:c r="D212" s="42"/>
      <x:c r="E212" s="42"/>
      <x:c r="F212" s="42"/>
      <x:c r="G212" s="70"/>
      <x:c r="H212" s="42"/>
      <x:c r="I212" s="42"/>
      <x:c r="J212" s="42"/>
      <x:c r="K212" s="72"/>
      <x:c r="L212" s="73" t="str">
        <x:f>IF(A212="","",IF(K212&gt;0,K212,IF(J212="Buy Order",SUMIFS('Market Data'!$F$5:$F$504,'Market Data'!$A$5:$A$504,I212,'Market Data'!$B$5:$B$504,E212,'Market Data'!$D$5:$D$504,1),SUMIFS('Market Data'!$E$5:$E$504,'Market Data'!$A$5:$A$504,I212,'Market Data'!$B$5:$B$504,E212,'Market Data'!$D$5:$D$504,1))))</x:f>
      </x:c>
      <x:c r="M212" s="73" t="str">
        <x:f>IF(A212="","",L212*(1+IF(J212="Buy Order",Settings!$B$16,0)))</x:f>
      </x:c>
      <x:c r="N212" s="73" t="str">
        <x:f>IF(A212="","",G212*M212)</x:f>
      </x:c>
    </x:row>
    <x:row r="213">
      <x:c r="A213" s="42"/>
      <x:c r="B213" s="42"/>
      <x:c r="C213" s="42"/>
      <x:c r="D213" s="42"/>
      <x:c r="E213" s="42"/>
      <x:c r="F213" s="42"/>
      <x:c r="G213" s="70"/>
      <x:c r="H213" s="42"/>
      <x:c r="I213" s="42"/>
      <x:c r="J213" s="42"/>
      <x:c r="K213" s="72"/>
      <x:c r="L213" s="73" t="str">
        <x:f>IF(A213="","",IF(K213&gt;0,K213,IF(J213="Buy Order",SUMIFS('Market Data'!$F$5:$F$504,'Market Data'!$A$5:$A$504,I213,'Market Data'!$B$5:$B$504,E213,'Market Data'!$D$5:$D$504,1),SUMIFS('Market Data'!$E$5:$E$504,'Market Data'!$A$5:$A$504,I213,'Market Data'!$B$5:$B$504,E213,'Market Data'!$D$5:$D$504,1))))</x:f>
      </x:c>
      <x:c r="M213" s="73" t="str">
        <x:f>IF(A213="","",L213*(1+IF(J213="Buy Order",Settings!$B$16,0)))</x:f>
      </x:c>
      <x:c r="N213" s="73" t="str">
        <x:f>IF(A213="","",G213*M213)</x:f>
      </x:c>
    </x:row>
    <x:row r="214">
      <x:c r="A214" s="42"/>
      <x:c r="B214" s="42"/>
      <x:c r="C214" s="42"/>
      <x:c r="D214" s="42"/>
      <x:c r="E214" s="42"/>
      <x:c r="F214" s="42"/>
      <x:c r="G214" s="70"/>
      <x:c r="H214" s="42"/>
      <x:c r="I214" s="42"/>
      <x:c r="J214" s="42"/>
      <x:c r="K214" s="72"/>
      <x:c r="L214" s="73" t="str">
        <x:f>IF(A214="","",IF(K214&gt;0,K214,IF(J214="Buy Order",SUMIFS('Market Data'!$F$5:$F$504,'Market Data'!$A$5:$A$504,I214,'Market Data'!$B$5:$B$504,E214,'Market Data'!$D$5:$D$504,1),SUMIFS('Market Data'!$E$5:$E$504,'Market Data'!$A$5:$A$504,I214,'Market Data'!$B$5:$B$504,E214,'Market Data'!$D$5:$D$504,1))))</x:f>
      </x:c>
      <x:c r="M214" s="73" t="str">
        <x:f>IF(A214="","",L214*(1+IF(J214="Buy Order",Settings!$B$16,0)))</x:f>
      </x:c>
      <x:c r="N214" s="73" t="str">
        <x:f>IF(A214="","",G214*M214)</x:f>
      </x:c>
    </x:row>
    <x:row r="215">
      <x:c r="A215" s="42"/>
      <x:c r="B215" s="42"/>
      <x:c r="C215" s="42"/>
      <x:c r="D215" s="42"/>
      <x:c r="E215" s="42"/>
      <x:c r="F215" s="42"/>
      <x:c r="G215" s="70"/>
      <x:c r="H215" s="42"/>
      <x:c r="I215" s="42"/>
      <x:c r="J215" s="42"/>
      <x:c r="K215" s="72"/>
      <x:c r="L215" s="73" t="str">
        <x:f>IF(A215="","",IF(K215&gt;0,K215,IF(J215="Buy Order",SUMIFS('Market Data'!$F$5:$F$504,'Market Data'!$A$5:$A$504,I215,'Market Data'!$B$5:$B$504,E215,'Market Data'!$D$5:$D$504,1),SUMIFS('Market Data'!$E$5:$E$504,'Market Data'!$A$5:$A$504,I215,'Market Data'!$B$5:$B$504,E215,'Market Data'!$D$5:$D$504,1))))</x:f>
      </x:c>
      <x:c r="M215" s="73" t="str">
        <x:f>IF(A215="","",L215*(1+IF(J215="Buy Order",Settings!$B$16,0)))</x:f>
      </x:c>
      <x:c r="N215" s="73" t="str">
        <x:f>IF(A215="","",G215*M215)</x:f>
      </x:c>
    </x:row>
    <x:row r="216">
      <x:c r="A216" s="42"/>
      <x:c r="B216" s="42"/>
      <x:c r="C216" s="42"/>
      <x:c r="D216" s="42"/>
      <x:c r="E216" s="42"/>
      <x:c r="F216" s="42"/>
      <x:c r="G216" s="70"/>
      <x:c r="H216" s="42"/>
      <x:c r="I216" s="42"/>
      <x:c r="J216" s="42"/>
      <x:c r="K216" s="72"/>
      <x:c r="L216" s="73" t="str">
        <x:f>IF(A216="","",IF(K216&gt;0,K216,IF(J216="Buy Order",SUMIFS('Market Data'!$F$5:$F$504,'Market Data'!$A$5:$A$504,I216,'Market Data'!$B$5:$B$504,E216,'Market Data'!$D$5:$D$504,1),SUMIFS('Market Data'!$E$5:$E$504,'Market Data'!$A$5:$A$504,I216,'Market Data'!$B$5:$B$504,E216,'Market Data'!$D$5:$D$504,1))))</x:f>
      </x:c>
      <x:c r="M216" s="73" t="str">
        <x:f>IF(A216="","",L216*(1+IF(J216="Buy Order",Settings!$B$16,0)))</x:f>
      </x:c>
      <x:c r="N216" s="73" t="str">
        <x:f>IF(A216="","",G216*M216)</x:f>
      </x:c>
    </x:row>
    <x:row r="217">
      <x:c r="A217" s="42"/>
      <x:c r="B217" s="42"/>
      <x:c r="C217" s="42"/>
      <x:c r="D217" s="42"/>
      <x:c r="E217" s="42"/>
      <x:c r="F217" s="42"/>
      <x:c r="G217" s="70"/>
      <x:c r="H217" s="42"/>
      <x:c r="I217" s="42"/>
      <x:c r="J217" s="42"/>
      <x:c r="K217" s="72"/>
      <x:c r="L217" s="73" t="str">
        <x:f>IF(A217="","",IF(K217&gt;0,K217,IF(J217="Buy Order",SUMIFS('Market Data'!$F$5:$F$504,'Market Data'!$A$5:$A$504,I217,'Market Data'!$B$5:$B$504,E217,'Market Data'!$D$5:$D$504,1),SUMIFS('Market Data'!$E$5:$E$504,'Market Data'!$A$5:$A$504,I217,'Market Data'!$B$5:$B$504,E217,'Market Data'!$D$5:$D$504,1))))</x:f>
      </x:c>
      <x:c r="M217" s="73" t="str">
        <x:f>IF(A217="","",L217*(1+IF(J217="Buy Order",Settings!$B$16,0)))</x:f>
      </x:c>
      <x:c r="N217" s="73" t="str">
        <x:f>IF(A217="","",G217*M217)</x:f>
      </x:c>
    </x:row>
    <x:row r="218">
      <x:c r="A218" s="42"/>
      <x:c r="B218" s="42"/>
      <x:c r="C218" s="42"/>
      <x:c r="D218" s="42"/>
      <x:c r="E218" s="42"/>
      <x:c r="F218" s="42"/>
      <x:c r="G218" s="70"/>
      <x:c r="H218" s="42"/>
      <x:c r="I218" s="42"/>
      <x:c r="J218" s="42"/>
      <x:c r="K218" s="72"/>
      <x:c r="L218" s="73" t="str">
        <x:f>IF(A218="","",IF(K218&gt;0,K218,IF(J218="Buy Order",SUMIFS('Market Data'!$F$5:$F$504,'Market Data'!$A$5:$A$504,I218,'Market Data'!$B$5:$B$504,E218,'Market Data'!$D$5:$D$504,1),SUMIFS('Market Data'!$E$5:$E$504,'Market Data'!$A$5:$A$504,I218,'Market Data'!$B$5:$B$504,E218,'Market Data'!$D$5:$D$504,1))))</x:f>
      </x:c>
      <x:c r="M218" s="73" t="str">
        <x:f>IF(A218="","",L218*(1+IF(J218="Buy Order",Settings!$B$16,0)))</x:f>
      </x:c>
      <x:c r="N218" s="73" t="str">
        <x:f>IF(A218="","",G218*M218)</x:f>
      </x:c>
    </x:row>
    <x:row r="219">
      <x:c r="A219" s="42"/>
      <x:c r="B219" s="42"/>
      <x:c r="C219" s="42"/>
      <x:c r="D219" s="42"/>
      <x:c r="E219" s="42"/>
      <x:c r="F219" s="42"/>
      <x:c r="G219" s="70"/>
      <x:c r="H219" s="42"/>
      <x:c r="I219" s="42"/>
      <x:c r="J219" s="42"/>
      <x:c r="K219" s="72"/>
      <x:c r="L219" s="73" t="str">
        <x:f>IF(A219="","",IF(K219&gt;0,K219,IF(J219="Buy Order",SUMIFS('Market Data'!$F$5:$F$504,'Market Data'!$A$5:$A$504,I219,'Market Data'!$B$5:$B$504,E219,'Market Data'!$D$5:$D$504,1),SUMIFS('Market Data'!$E$5:$E$504,'Market Data'!$A$5:$A$504,I219,'Market Data'!$B$5:$B$504,E219,'Market Data'!$D$5:$D$504,1))))</x:f>
      </x:c>
      <x:c r="M219" s="73" t="str">
        <x:f>IF(A219="","",L219*(1+IF(J219="Buy Order",Settings!$B$16,0)))</x:f>
      </x:c>
      <x:c r="N219" s="73" t="str">
        <x:f>IF(A219="","",G219*M219)</x:f>
      </x:c>
    </x:row>
    <x:row r="220">
      <x:c r="A220" s="42"/>
      <x:c r="B220" s="42"/>
      <x:c r="C220" s="42"/>
      <x:c r="D220" s="42"/>
      <x:c r="E220" s="42"/>
      <x:c r="F220" s="42"/>
      <x:c r="G220" s="70"/>
      <x:c r="H220" s="42"/>
      <x:c r="I220" s="42"/>
      <x:c r="J220" s="42"/>
      <x:c r="K220" s="72"/>
      <x:c r="L220" s="73" t="str">
        <x:f>IF(A220="","",IF(K220&gt;0,K220,IF(J220="Buy Order",SUMIFS('Market Data'!$F$5:$F$504,'Market Data'!$A$5:$A$504,I220,'Market Data'!$B$5:$B$504,E220,'Market Data'!$D$5:$D$504,1),SUMIFS('Market Data'!$E$5:$E$504,'Market Data'!$A$5:$A$504,I220,'Market Data'!$B$5:$B$504,E220,'Market Data'!$D$5:$D$504,1))))</x:f>
      </x:c>
      <x:c r="M220" s="73" t="str">
        <x:f>IF(A220="","",L220*(1+IF(J220="Buy Order",Settings!$B$16,0)))</x:f>
      </x:c>
      <x:c r="N220" s="73" t="str">
        <x:f>IF(A220="","",G220*M220)</x:f>
      </x:c>
    </x:row>
    <x:row r="221">
      <x:c r="A221" s="42"/>
      <x:c r="B221" s="42"/>
      <x:c r="C221" s="42"/>
      <x:c r="D221" s="42"/>
      <x:c r="E221" s="42"/>
      <x:c r="F221" s="42"/>
      <x:c r="G221" s="70"/>
      <x:c r="H221" s="42"/>
      <x:c r="I221" s="42"/>
      <x:c r="J221" s="42"/>
      <x:c r="K221" s="72"/>
      <x:c r="L221" s="73" t="str">
        <x:f>IF(A221="","",IF(K221&gt;0,K221,IF(J221="Buy Order",SUMIFS('Market Data'!$F$5:$F$504,'Market Data'!$A$5:$A$504,I221,'Market Data'!$B$5:$B$504,E221,'Market Data'!$D$5:$D$504,1),SUMIFS('Market Data'!$E$5:$E$504,'Market Data'!$A$5:$A$504,I221,'Market Data'!$B$5:$B$504,E221,'Market Data'!$D$5:$D$504,1))))</x:f>
      </x:c>
      <x:c r="M221" s="73" t="str">
        <x:f>IF(A221="","",L221*(1+IF(J221="Buy Order",Settings!$B$16,0)))</x:f>
      </x:c>
      <x:c r="N221" s="73" t="str">
        <x:f>IF(A221="","",G221*M221)</x:f>
      </x:c>
    </x:row>
    <x:row r="222">
      <x:c r="A222" s="42"/>
      <x:c r="B222" s="42"/>
      <x:c r="C222" s="42"/>
      <x:c r="D222" s="42"/>
      <x:c r="E222" s="42"/>
      <x:c r="F222" s="42"/>
      <x:c r="G222" s="70"/>
      <x:c r="H222" s="42"/>
      <x:c r="I222" s="42"/>
      <x:c r="J222" s="42"/>
      <x:c r="K222" s="72"/>
      <x:c r="L222" s="73" t="str">
        <x:f>IF(A222="","",IF(K222&gt;0,K222,IF(J222="Buy Order",SUMIFS('Market Data'!$F$5:$F$504,'Market Data'!$A$5:$A$504,I222,'Market Data'!$B$5:$B$504,E222,'Market Data'!$D$5:$D$504,1),SUMIFS('Market Data'!$E$5:$E$504,'Market Data'!$A$5:$A$504,I222,'Market Data'!$B$5:$B$504,E222,'Market Data'!$D$5:$D$504,1))))</x:f>
      </x:c>
      <x:c r="M222" s="73" t="str">
        <x:f>IF(A222="","",L222*(1+IF(J222="Buy Order",Settings!$B$16,0)))</x:f>
      </x:c>
      <x:c r="N222" s="73" t="str">
        <x:f>IF(A222="","",G222*M222)</x:f>
      </x:c>
    </x:row>
    <x:row r="223">
      <x:c r="A223" s="42"/>
      <x:c r="B223" s="42"/>
      <x:c r="C223" s="42"/>
      <x:c r="D223" s="42"/>
      <x:c r="E223" s="42"/>
      <x:c r="F223" s="42"/>
      <x:c r="G223" s="70"/>
      <x:c r="H223" s="42"/>
      <x:c r="I223" s="42"/>
      <x:c r="J223" s="42"/>
      <x:c r="K223" s="72"/>
      <x:c r="L223" s="73" t="str">
        <x:f>IF(A223="","",IF(K223&gt;0,K223,IF(J223="Buy Order",SUMIFS('Market Data'!$F$5:$F$504,'Market Data'!$A$5:$A$504,I223,'Market Data'!$B$5:$B$504,E223,'Market Data'!$D$5:$D$504,1),SUMIFS('Market Data'!$E$5:$E$504,'Market Data'!$A$5:$A$504,I223,'Market Data'!$B$5:$B$504,E223,'Market Data'!$D$5:$D$504,1))))</x:f>
      </x:c>
      <x:c r="M223" s="73" t="str">
        <x:f>IF(A223="","",L223*(1+IF(J223="Buy Order",Settings!$B$16,0)))</x:f>
      </x:c>
      <x:c r="N223" s="73" t="str">
        <x:f>IF(A223="","",G223*M223)</x:f>
      </x:c>
    </x:row>
    <x:row r="224">
      <x:c r="A224" s="42"/>
      <x:c r="B224" s="42"/>
      <x:c r="C224" s="42"/>
      <x:c r="D224" s="42"/>
      <x:c r="E224" s="42"/>
      <x:c r="F224" s="42"/>
      <x:c r="G224" s="70"/>
      <x:c r="H224" s="42"/>
      <x:c r="I224" s="42"/>
      <x:c r="J224" s="42"/>
      <x:c r="K224" s="72"/>
      <x:c r="L224" s="73" t="str">
        <x:f>IF(A224="","",IF(K224&gt;0,K224,IF(J224="Buy Order",SUMIFS('Market Data'!$F$5:$F$504,'Market Data'!$A$5:$A$504,I224,'Market Data'!$B$5:$B$504,E224,'Market Data'!$D$5:$D$504,1),SUMIFS('Market Data'!$E$5:$E$504,'Market Data'!$A$5:$A$504,I224,'Market Data'!$B$5:$B$504,E224,'Market Data'!$D$5:$D$504,1))))</x:f>
      </x:c>
      <x:c r="M224" s="73" t="str">
        <x:f>IF(A224="","",L224*(1+IF(J224="Buy Order",Settings!$B$16,0)))</x:f>
      </x:c>
      <x:c r="N224" s="73" t="str">
        <x:f>IF(A224="","",G224*M224)</x:f>
      </x:c>
    </x:row>
    <x:row r="225">
      <x:c r="A225" s="42"/>
      <x:c r="B225" s="42"/>
      <x:c r="C225" s="42"/>
      <x:c r="D225" s="42"/>
      <x:c r="E225" s="42"/>
      <x:c r="F225" s="42"/>
      <x:c r="G225" s="70"/>
      <x:c r="H225" s="42"/>
      <x:c r="I225" s="42"/>
      <x:c r="J225" s="42"/>
      <x:c r="K225" s="72"/>
      <x:c r="L225" s="73" t="str">
        <x:f>IF(A225="","",IF(K225&gt;0,K225,IF(J225="Buy Order",SUMIFS('Market Data'!$F$5:$F$504,'Market Data'!$A$5:$A$504,I225,'Market Data'!$B$5:$B$504,E225,'Market Data'!$D$5:$D$504,1),SUMIFS('Market Data'!$E$5:$E$504,'Market Data'!$A$5:$A$504,I225,'Market Data'!$B$5:$B$504,E225,'Market Data'!$D$5:$D$504,1))))</x:f>
      </x:c>
      <x:c r="M225" s="73" t="str">
        <x:f>IF(A225="","",L225*(1+IF(J225="Buy Order",Settings!$B$16,0)))</x:f>
      </x:c>
      <x:c r="N225" s="73" t="str">
        <x:f>IF(A225="","",G225*M225)</x:f>
      </x:c>
    </x:row>
    <x:row r="226">
      <x:c r="A226" s="42"/>
      <x:c r="B226" s="42"/>
      <x:c r="C226" s="42"/>
      <x:c r="D226" s="42"/>
      <x:c r="E226" s="42"/>
      <x:c r="F226" s="42"/>
      <x:c r="G226" s="70"/>
      <x:c r="H226" s="42"/>
      <x:c r="I226" s="42"/>
      <x:c r="J226" s="42"/>
      <x:c r="K226" s="72"/>
      <x:c r="L226" s="73" t="str">
        <x:f>IF(A226="","",IF(K226&gt;0,K226,IF(J226="Buy Order",SUMIFS('Market Data'!$F$5:$F$504,'Market Data'!$A$5:$A$504,I226,'Market Data'!$B$5:$B$504,E226,'Market Data'!$D$5:$D$504,1),SUMIFS('Market Data'!$E$5:$E$504,'Market Data'!$A$5:$A$504,I226,'Market Data'!$B$5:$B$504,E226,'Market Data'!$D$5:$D$504,1))))</x:f>
      </x:c>
      <x:c r="M226" s="73" t="str">
        <x:f>IF(A226="","",L226*(1+IF(J226="Buy Order",Settings!$B$16,0)))</x:f>
      </x:c>
      <x:c r="N226" s="73" t="str">
        <x:f>IF(A226="","",G226*M226)</x:f>
      </x:c>
    </x:row>
    <x:row r="227">
      <x:c r="A227" s="42"/>
      <x:c r="B227" s="42"/>
      <x:c r="C227" s="42"/>
      <x:c r="D227" s="42"/>
      <x:c r="E227" s="42"/>
      <x:c r="F227" s="42"/>
      <x:c r="G227" s="70"/>
      <x:c r="H227" s="42"/>
      <x:c r="I227" s="42"/>
      <x:c r="J227" s="42"/>
      <x:c r="K227" s="72"/>
      <x:c r="L227" s="73" t="str">
        <x:f>IF(A227="","",IF(K227&gt;0,K227,IF(J227="Buy Order",SUMIFS('Market Data'!$F$5:$F$504,'Market Data'!$A$5:$A$504,I227,'Market Data'!$B$5:$B$504,E227,'Market Data'!$D$5:$D$504,1),SUMIFS('Market Data'!$E$5:$E$504,'Market Data'!$A$5:$A$504,I227,'Market Data'!$B$5:$B$504,E227,'Market Data'!$D$5:$D$504,1))))</x:f>
      </x:c>
      <x:c r="M227" s="73" t="str">
        <x:f>IF(A227="","",L227*(1+IF(J227="Buy Order",Settings!$B$16,0)))</x:f>
      </x:c>
      <x:c r="N227" s="73" t="str">
        <x:f>IF(A227="","",G227*M227)</x:f>
      </x:c>
    </x:row>
    <x:row r="228">
      <x:c r="A228" s="42"/>
      <x:c r="B228" s="42"/>
      <x:c r="C228" s="42"/>
      <x:c r="D228" s="42"/>
      <x:c r="E228" s="42"/>
      <x:c r="F228" s="42"/>
      <x:c r="G228" s="70"/>
      <x:c r="H228" s="42"/>
      <x:c r="I228" s="42"/>
      <x:c r="J228" s="42"/>
      <x:c r="K228" s="72"/>
      <x:c r="L228" s="73" t="str">
        <x:f>IF(A228="","",IF(K228&gt;0,K228,IF(J228="Buy Order",SUMIFS('Market Data'!$F$5:$F$504,'Market Data'!$A$5:$A$504,I228,'Market Data'!$B$5:$B$504,E228,'Market Data'!$D$5:$D$504,1),SUMIFS('Market Data'!$E$5:$E$504,'Market Data'!$A$5:$A$504,I228,'Market Data'!$B$5:$B$504,E228,'Market Data'!$D$5:$D$504,1))))</x:f>
      </x:c>
      <x:c r="M228" s="73" t="str">
        <x:f>IF(A228="","",L228*(1+IF(J228="Buy Order",Settings!$B$16,0)))</x:f>
      </x:c>
      <x:c r="N228" s="73" t="str">
        <x:f>IF(A228="","",G228*M228)</x:f>
      </x:c>
    </x:row>
    <x:row r="229">
      <x:c r="A229" s="42"/>
      <x:c r="B229" s="42"/>
      <x:c r="C229" s="42"/>
      <x:c r="D229" s="42"/>
      <x:c r="E229" s="42"/>
      <x:c r="F229" s="42"/>
      <x:c r="G229" s="70"/>
      <x:c r="H229" s="42"/>
      <x:c r="I229" s="42"/>
      <x:c r="J229" s="42"/>
      <x:c r="K229" s="72"/>
      <x:c r="L229" s="73" t="str">
        <x:f>IF(A229="","",IF(K229&gt;0,K229,IF(J229="Buy Order",SUMIFS('Market Data'!$F$5:$F$504,'Market Data'!$A$5:$A$504,I229,'Market Data'!$B$5:$B$504,E229,'Market Data'!$D$5:$D$504,1),SUMIFS('Market Data'!$E$5:$E$504,'Market Data'!$A$5:$A$504,I229,'Market Data'!$B$5:$B$504,E229,'Market Data'!$D$5:$D$504,1))))</x:f>
      </x:c>
      <x:c r="M229" s="73" t="str">
        <x:f>IF(A229="","",L229*(1+IF(J229="Buy Order",Settings!$B$16,0)))</x:f>
      </x:c>
      <x:c r="N229" s="73" t="str">
        <x:f>IF(A229="","",G229*M229)</x:f>
      </x:c>
    </x:row>
    <x:row r="230">
      <x:c r="A230" s="42"/>
      <x:c r="B230" s="42"/>
      <x:c r="C230" s="42"/>
      <x:c r="D230" s="42"/>
      <x:c r="E230" s="42"/>
      <x:c r="F230" s="42"/>
      <x:c r="G230" s="70"/>
      <x:c r="H230" s="42"/>
      <x:c r="I230" s="42"/>
      <x:c r="J230" s="42"/>
      <x:c r="K230" s="72"/>
      <x:c r="L230" s="73" t="str">
        <x:f>IF(A230="","",IF(K230&gt;0,K230,IF(J230="Buy Order",SUMIFS('Market Data'!$F$5:$F$504,'Market Data'!$A$5:$A$504,I230,'Market Data'!$B$5:$B$504,E230,'Market Data'!$D$5:$D$504,1),SUMIFS('Market Data'!$E$5:$E$504,'Market Data'!$A$5:$A$504,I230,'Market Data'!$B$5:$B$504,E230,'Market Data'!$D$5:$D$504,1))))</x:f>
      </x:c>
      <x:c r="M230" s="73" t="str">
        <x:f>IF(A230="","",L230*(1+IF(J230="Buy Order",Settings!$B$16,0)))</x:f>
      </x:c>
      <x:c r="N230" s="73" t="str">
        <x:f>IF(A230="","",G230*M230)</x:f>
      </x:c>
    </x:row>
    <x:row r="231">
      <x:c r="A231" s="42"/>
      <x:c r="B231" s="42"/>
      <x:c r="C231" s="42"/>
      <x:c r="D231" s="42"/>
      <x:c r="E231" s="42"/>
      <x:c r="F231" s="42"/>
      <x:c r="G231" s="70"/>
      <x:c r="H231" s="42"/>
      <x:c r="I231" s="42"/>
      <x:c r="J231" s="42"/>
      <x:c r="K231" s="72"/>
      <x:c r="L231" s="73" t="str">
        <x:f>IF(A231="","",IF(K231&gt;0,K231,IF(J231="Buy Order",SUMIFS('Market Data'!$F$5:$F$504,'Market Data'!$A$5:$A$504,I231,'Market Data'!$B$5:$B$504,E231,'Market Data'!$D$5:$D$504,1),SUMIFS('Market Data'!$E$5:$E$504,'Market Data'!$A$5:$A$504,I231,'Market Data'!$B$5:$B$504,E231,'Market Data'!$D$5:$D$504,1))))</x:f>
      </x:c>
      <x:c r="M231" s="73" t="str">
        <x:f>IF(A231="","",L231*(1+IF(J231="Buy Order",Settings!$B$16,0)))</x:f>
      </x:c>
      <x:c r="N231" s="73" t="str">
        <x:f>IF(A231="","",G231*M231)</x:f>
      </x:c>
    </x:row>
    <x:row r="232">
      <x:c r="A232" s="42"/>
      <x:c r="B232" s="42"/>
      <x:c r="C232" s="42"/>
      <x:c r="D232" s="42"/>
      <x:c r="E232" s="42"/>
      <x:c r="F232" s="42"/>
      <x:c r="G232" s="70"/>
      <x:c r="H232" s="42"/>
      <x:c r="I232" s="42"/>
      <x:c r="J232" s="42"/>
      <x:c r="K232" s="72"/>
      <x:c r="L232" s="73" t="str">
        <x:f>IF(A232="","",IF(K232&gt;0,K232,IF(J232="Buy Order",SUMIFS('Market Data'!$F$5:$F$504,'Market Data'!$A$5:$A$504,I232,'Market Data'!$B$5:$B$504,E232,'Market Data'!$D$5:$D$504,1),SUMIFS('Market Data'!$E$5:$E$504,'Market Data'!$A$5:$A$504,I232,'Market Data'!$B$5:$B$504,E232,'Market Data'!$D$5:$D$504,1))))</x:f>
      </x:c>
      <x:c r="M232" s="73" t="str">
        <x:f>IF(A232="","",L232*(1+IF(J232="Buy Order",Settings!$B$16,0)))</x:f>
      </x:c>
      <x:c r="N232" s="73" t="str">
        <x:f>IF(A232="","",G232*M232)</x:f>
      </x:c>
    </x:row>
    <x:row r="233">
      <x:c r="A233" s="42"/>
      <x:c r="B233" s="42"/>
      <x:c r="C233" s="42"/>
      <x:c r="D233" s="42"/>
      <x:c r="E233" s="42"/>
      <x:c r="F233" s="42"/>
      <x:c r="G233" s="70"/>
      <x:c r="H233" s="42"/>
      <x:c r="I233" s="42"/>
      <x:c r="J233" s="42"/>
      <x:c r="K233" s="72"/>
      <x:c r="L233" s="73" t="str">
        <x:f>IF(A233="","",IF(K233&gt;0,K233,IF(J233="Buy Order",SUMIFS('Market Data'!$F$5:$F$504,'Market Data'!$A$5:$A$504,I233,'Market Data'!$B$5:$B$504,E233,'Market Data'!$D$5:$D$504,1),SUMIFS('Market Data'!$E$5:$E$504,'Market Data'!$A$5:$A$504,I233,'Market Data'!$B$5:$B$504,E233,'Market Data'!$D$5:$D$504,1))))</x:f>
      </x:c>
      <x:c r="M233" s="73" t="str">
        <x:f>IF(A233="","",L233*(1+IF(J233="Buy Order",Settings!$B$16,0)))</x:f>
      </x:c>
      <x:c r="N233" s="73" t="str">
        <x:f>IF(A233="","",G233*M233)</x:f>
      </x:c>
    </x:row>
    <x:row r="234">
      <x:c r="A234" s="42"/>
      <x:c r="B234" s="42"/>
      <x:c r="C234" s="42"/>
      <x:c r="D234" s="42"/>
      <x:c r="E234" s="42"/>
      <x:c r="F234" s="42"/>
      <x:c r="G234" s="70"/>
      <x:c r="H234" s="42"/>
      <x:c r="I234" s="42"/>
      <x:c r="J234" s="42"/>
      <x:c r="K234" s="72"/>
      <x:c r="L234" s="73" t="str">
        <x:f>IF(A234="","",IF(K234&gt;0,K234,IF(J234="Buy Order",SUMIFS('Market Data'!$F$5:$F$504,'Market Data'!$A$5:$A$504,I234,'Market Data'!$B$5:$B$504,E234,'Market Data'!$D$5:$D$504,1),SUMIFS('Market Data'!$E$5:$E$504,'Market Data'!$A$5:$A$504,I234,'Market Data'!$B$5:$B$504,E234,'Market Data'!$D$5:$D$504,1))))</x:f>
      </x:c>
      <x:c r="M234" s="73" t="str">
        <x:f>IF(A234="","",L234*(1+IF(J234="Buy Order",Settings!$B$16,0)))</x:f>
      </x:c>
      <x:c r="N234" s="73" t="str">
        <x:f>IF(A234="","",G234*M234)</x:f>
      </x:c>
    </x:row>
    <x:row r="235">
      <x:c r="A235" s="42"/>
      <x:c r="B235" s="42"/>
      <x:c r="C235" s="42"/>
      <x:c r="D235" s="42"/>
      <x:c r="E235" s="42"/>
      <x:c r="F235" s="42"/>
      <x:c r="G235" s="70"/>
      <x:c r="H235" s="42"/>
      <x:c r="I235" s="42"/>
      <x:c r="J235" s="42"/>
      <x:c r="K235" s="72"/>
      <x:c r="L235" s="73" t="str">
        <x:f>IF(A235="","",IF(K235&gt;0,K235,IF(J235="Buy Order",SUMIFS('Market Data'!$F$5:$F$504,'Market Data'!$A$5:$A$504,I235,'Market Data'!$B$5:$B$504,E235,'Market Data'!$D$5:$D$504,1),SUMIFS('Market Data'!$E$5:$E$504,'Market Data'!$A$5:$A$504,I235,'Market Data'!$B$5:$B$504,E235,'Market Data'!$D$5:$D$504,1))))</x:f>
      </x:c>
      <x:c r="M235" s="73" t="str">
        <x:f>IF(A235="","",L235*(1+IF(J235="Buy Order",Settings!$B$16,0)))</x:f>
      </x:c>
      <x:c r="N235" s="73" t="str">
        <x:f>IF(A235="","",G235*M235)</x:f>
      </x:c>
    </x:row>
    <x:row r="236">
      <x:c r="A236" s="42"/>
      <x:c r="B236" s="42"/>
      <x:c r="C236" s="42"/>
      <x:c r="D236" s="42"/>
      <x:c r="E236" s="42"/>
      <x:c r="F236" s="42"/>
      <x:c r="G236" s="70"/>
      <x:c r="H236" s="42"/>
      <x:c r="I236" s="42"/>
      <x:c r="J236" s="42"/>
      <x:c r="K236" s="72"/>
      <x:c r="L236" s="73" t="str">
        <x:f>IF(A236="","",IF(K236&gt;0,K236,IF(J236="Buy Order",SUMIFS('Market Data'!$F$5:$F$504,'Market Data'!$A$5:$A$504,I236,'Market Data'!$B$5:$B$504,E236,'Market Data'!$D$5:$D$504,1),SUMIFS('Market Data'!$E$5:$E$504,'Market Data'!$A$5:$A$504,I236,'Market Data'!$B$5:$B$504,E236,'Market Data'!$D$5:$D$504,1))))</x:f>
      </x:c>
      <x:c r="M236" s="73" t="str">
        <x:f>IF(A236="","",L236*(1+IF(J236="Buy Order",Settings!$B$16,0)))</x:f>
      </x:c>
      <x:c r="N236" s="73" t="str">
        <x:f>IF(A236="","",G236*M236)</x:f>
      </x:c>
    </x:row>
    <x:row r="237">
      <x:c r="A237" s="42"/>
      <x:c r="B237" s="42"/>
      <x:c r="C237" s="42"/>
      <x:c r="D237" s="42"/>
      <x:c r="E237" s="42"/>
      <x:c r="F237" s="42"/>
      <x:c r="G237" s="70"/>
      <x:c r="H237" s="42"/>
      <x:c r="I237" s="42"/>
      <x:c r="J237" s="42"/>
      <x:c r="K237" s="72"/>
      <x:c r="L237" s="73" t="str">
        <x:f>IF(A237="","",IF(K237&gt;0,K237,IF(J237="Buy Order",SUMIFS('Market Data'!$F$5:$F$504,'Market Data'!$A$5:$A$504,I237,'Market Data'!$B$5:$B$504,E237,'Market Data'!$D$5:$D$504,1),SUMIFS('Market Data'!$E$5:$E$504,'Market Data'!$A$5:$A$504,I237,'Market Data'!$B$5:$B$504,E237,'Market Data'!$D$5:$D$504,1))))</x:f>
      </x:c>
      <x:c r="M237" s="73" t="str">
        <x:f>IF(A237="","",L237*(1+IF(J237="Buy Order",Settings!$B$16,0)))</x:f>
      </x:c>
      <x:c r="N237" s="73" t="str">
        <x:f>IF(A237="","",G237*M237)</x:f>
      </x:c>
    </x:row>
    <x:row r="238">
      <x:c r="A238" s="42"/>
      <x:c r="B238" s="42"/>
      <x:c r="C238" s="42"/>
      <x:c r="D238" s="42"/>
      <x:c r="E238" s="42"/>
      <x:c r="F238" s="42"/>
      <x:c r="G238" s="70"/>
      <x:c r="H238" s="42"/>
      <x:c r="I238" s="42"/>
      <x:c r="J238" s="42"/>
      <x:c r="K238" s="72"/>
      <x:c r="L238" s="73" t="str">
        <x:f>IF(A238="","",IF(K238&gt;0,K238,IF(J238="Buy Order",SUMIFS('Market Data'!$F$5:$F$504,'Market Data'!$A$5:$A$504,I238,'Market Data'!$B$5:$B$504,E238,'Market Data'!$D$5:$D$504,1),SUMIFS('Market Data'!$E$5:$E$504,'Market Data'!$A$5:$A$504,I238,'Market Data'!$B$5:$B$504,E238,'Market Data'!$D$5:$D$504,1))))</x:f>
      </x:c>
      <x:c r="M238" s="73" t="str">
        <x:f>IF(A238="","",L238*(1+IF(J238="Buy Order",Settings!$B$16,0)))</x:f>
      </x:c>
      <x:c r="N238" s="73" t="str">
        <x:f>IF(A238="","",G238*M238)</x:f>
      </x:c>
    </x:row>
    <x:row r="239">
      <x:c r="A239" s="42"/>
      <x:c r="B239" s="42"/>
      <x:c r="C239" s="42"/>
      <x:c r="D239" s="42"/>
      <x:c r="E239" s="42"/>
      <x:c r="F239" s="42"/>
      <x:c r="G239" s="70"/>
      <x:c r="H239" s="42"/>
      <x:c r="I239" s="42"/>
      <x:c r="J239" s="42"/>
      <x:c r="K239" s="72"/>
      <x:c r="L239" s="73" t="str">
        <x:f>IF(A239="","",IF(K239&gt;0,K239,IF(J239="Buy Order",SUMIFS('Market Data'!$F$5:$F$504,'Market Data'!$A$5:$A$504,I239,'Market Data'!$B$5:$B$504,E239,'Market Data'!$D$5:$D$504,1),SUMIFS('Market Data'!$E$5:$E$504,'Market Data'!$A$5:$A$504,I239,'Market Data'!$B$5:$B$504,E239,'Market Data'!$D$5:$D$504,1))))</x:f>
      </x:c>
      <x:c r="M239" s="73" t="str">
        <x:f>IF(A239="","",L239*(1+IF(J239="Buy Order",Settings!$B$16,0)))</x:f>
      </x:c>
      <x:c r="N239" s="73" t="str">
        <x:f>IF(A239="","",G239*M239)</x:f>
      </x:c>
    </x:row>
    <x:row r="240">
      <x:c r="A240" s="42"/>
      <x:c r="B240" s="42"/>
      <x:c r="C240" s="42"/>
      <x:c r="D240" s="42"/>
      <x:c r="E240" s="42"/>
      <x:c r="F240" s="42"/>
      <x:c r="G240" s="70"/>
      <x:c r="H240" s="42"/>
      <x:c r="I240" s="42"/>
      <x:c r="J240" s="42"/>
      <x:c r="K240" s="72"/>
      <x:c r="L240" s="73" t="str">
        <x:f>IF(A240="","",IF(K240&gt;0,K240,IF(J240="Buy Order",SUMIFS('Market Data'!$F$5:$F$504,'Market Data'!$A$5:$A$504,I240,'Market Data'!$B$5:$B$504,E240,'Market Data'!$D$5:$D$504,1),SUMIFS('Market Data'!$E$5:$E$504,'Market Data'!$A$5:$A$504,I240,'Market Data'!$B$5:$B$504,E240,'Market Data'!$D$5:$D$504,1))))</x:f>
      </x:c>
      <x:c r="M240" s="73" t="str">
        <x:f>IF(A240="","",L240*(1+IF(J240="Buy Order",Settings!$B$16,0)))</x:f>
      </x:c>
      <x:c r="N240" s="73" t="str">
        <x:f>IF(A240="","",G240*M240)</x:f>
      </x:c>
    </x:row>
    <x:row r="241">
      <x:c r="A241" s="42"/>
      <x:c r="B241" s="42"/>
      <x:c r="C241" s="42"/>
      <x:c r="D241" s="42"/>
      <x:c r="E241" s="42"/>
      <x:c r="F241" s="42"/>
      <x:c r="G241" s="70"/>
      <x:c r="H241" s="42"/>
      <x:c r="I241" s="42"/>
      <x:c r="J241" s="42"/>
      <x:c r="K241" s="72"/>
      <x:c r="L241" s="73" t="str">
        <x:f>IF(A241="","",IF(K241&gt;0,K241,IF(J241="Buy Order",SUMIFS('Market Data'!$F$5:$F$504,'Market Data'!$A$5:$A$504,I241,'Market Data'!$B$5:$B$504,E241,'Market Data'!$D$5:$D$504,1),SUMIFS('Market Data'!$E$5:$E$504,'Market Data'!$A$5:$A$504,I241,'Market Data'!$B$5:$B$504,E241,'Market Data'!$D$5:$D$504,1))))</x:f>
      </x:c>
      <x:c r="M241" s="73" t="str">
        <x:f>IF(A241="","",L241*(1+IF(J241="Buy Order",Settings!$B$16,0)))</x:f>
      </x:c>
      <x:c r="N241" s="73" t="str">
        <x:f>IF(A241="","",G241*M241)</x:f>
      </x:c>
    </x:row>
    <x:row r="242">
      <x:c r="A242" s="42"/>
      <x:c r="B242" s="42"/>
      <x:c r="C242" s="42"/>
      <x:c r="D242" s="42"/>
      <x:c r="E242" s="42"/>
      <x:c r="F242" s="42"/>
      <x:c r="G242" s="70"/>
      <x:c r="H242" s="42"/>
      <x:c r="I242" s="42"/>
      <x:c r="J242" s="42"/>
      <x:c r="K242" s="72"/>
      <x:c r="L242" s="73" t="str">
        <x:f>IF(A242="","",IF(K242&gt;0,K242,IF(J242="Buy Order",SUMIFS('Market Data'!$F$5:$F$504,'Market Data'!$A$5:$A$504,I242,'Market Data'!$B$5:$B$504,E242,'Market Data'!$D$5:$D$504,1),SUMIFS('Market Data'!$E$5:$E$504,'Market Data'!$A$5:$A$504,I242,'Market Data'!$B$5:$B$504,E242,'Market Data'!$D$5:$D$504,1))))</x:f>
      </x:c>
      <x:c r="M242" s="73" t="str">
        <x:f>IF(A242="","",L242*(1+IF(J242="Buy Order",Settings!$B$16,0)))</x:f>
      </x:c>
      <x:c r="N242" s="73" t="str">
        <x:f>IF(A242="","",G242*M242)</x:f>
      </x:c>
    </x:row>
    <x:row r="243">
      <x:c r="A243" s="42"/>
      <x:c r="B243" s="42"/>
      <x:c r="C243" s="42"/>
      <x:c r="D243" s="42"/>
      <x:c r="E243" s="42"/>
      <x:c r="F243" s="42"/>
      <x:c r="G243" s="70"/>
      <x:c r="H243" s="42"/>
      <x:c r="I243" s="42"/>
      <x:c r="J243" s="42"/>
      <x:c r="K243" s="72"/>
      <x:c r="L243" s="73" t="str">
        <x:f>IF(A243="","",IF(K243&gt;0,K243,IF(J243="Buy Order",SUMIFS('Market Data'!$F$5:$F$504,'Market Data'!$A$5:$A$504,I243,'Market Data'!$B$5:$B$504,E243,'Market Data'!$D$5:$D$504,1),SUMIFS('Market Data'!$E$5:$E$504,'Market Data'!$A$5:$A$504,I243,'Market Data'!$B$5:$B$504,E243,'Market Data'!$D$5:$D$504,1))))</x:f>
      </x:c>
      <x:c r="M243" s="73" t="str">
        <x:f>IF(A243="","",L243*(1+IF(J243="Buy Order",Settings!$B$16,0)))</x:f>
      </x:c>
      <x:c r="N243" s="73" t="str">
        <x:f>IF(A243="","",G243*M243)</x:f>
      </x:c>
    </x:row>
    <x:row r="244">
      <x:c r="A244" s="42"/>
      <x:c r="B244" s="42"/>
      <x:c r="C244" s="42"/>
      <x:c r="D244" s="42"/>
      <x:c r="E244" s="42"/>
      <x:c r="F244" s="42"/>
      <x:c r="G244" s="70"/>
      <x:c r="H244" s="42"/>
      <x:c r="I244" s="42"/>
      <x:c r="J244" s="42"/>
      <x:c r="K244" s="72"/>
      <x:c r="L244" s="73" t="str">
        <x:f>IF(A244="","",IF(K244&gt;0,K244,IF(J244="Buy Order",SUMIFS('Market Data'!$F$5:$F$504,'Market Data'!$A$5:$A$504,I244,'Market Data'!$B$5:$B$504,E244,'Market Data'!$D$5:$D$504,1),SUMIFS('Market Data'!$E$5:$E$504,'Market Data'!$A$5:$A$504,I244,'Market Data'!$B$5:$B$504,E244,'Market Data'!$D$5:$D$504,1))))</x:f>
      </x:c>
      <x:c r="M244" s="73" t="str">
        <x:f>IF(A244="","",L244*(1+IF(J244="Buy Order",Settings!$B$16,0)))</x:f>
      </x:c>
      <x:c r="N244" s="73" t="str">
        <x:f>IF(A244="","",G244*M244)</x:f>
      </x:c>
    </x:row>
    <x:row r="245">
      <x:c r="A245" s="42"/>
      <x:c r="B245" s="42"/>
      <x:c r="C245" s="42"/>
      <x:c r="D245" s="42"/>
      <x:c r="E245" s="42"/>
      <x:c r="F245" s="42"/>
      <x:c r="G245" s="70"/>
      <x:c r="H245" s="42"/>
      <x:c r="I245" s="42"/>
      <x:c r="J245" s="42"/>
      <x:c r="K245" s="72"/>
      <x:c r="L245" s="73" t="str">
        <x:f>IF(A245="","",IF(K245&gt;0,K245,IF(J245="Buy Order",SUMIFS('Market Data'!$F$5:$F$504,'Market Data'!$A$5:$A$504,I245,'Market Data'!$B$5:$B$504,E245,'Market Data'!$D$5:$D$504,1),SUMIFS('Market Data'!$E$5:$E$504,'Market Data'!$A$5:$A$504,I245,'Market Data'!$B$5:$B$504,E245,'Market Data'!$D$5:$D$504,1))))</x:f>
      </x:c>
      <x:c r="M245" s="73" t="str">
        <x:f>IF(A245="","",L245*(1+IF(J245="Buy Order",Settings!$B$16,0)))</x:f>
      </x:c>
      <x:c r="N245" s="73" t="str">
        <x:f>IF(A245="","",G245*M245)</x:f>
      </x:c>
    </x:row>
    <x:row r="246">
      <x:c r="A246" s="42"/>
      <x:c r="B246" s="42"/>
      <x:c r="C246" s="42"/>
      <x:c r="D246" s="42"/>
      <x:c r="E246" s="42"/>
      <x:c r="F246" s="42"/>
      <x:c r="G246" s="70"/>
      <x:c r="H246" s="42"/>
      <x:c r="I246" s="42"/>
      <x:c r="J246" s="42"/>
      <x:c r="K246" s="72"/>
      <x:c r="L246" s="73" t="str">
        <x:f>IF(A246="","",IF(K246&gt;0,K246,IF(J246="Buy Order",SUMIFS('Market Data'!$F$5:$F$504,'Market Data'!$A$5:$A$504,I246,'Market Data'!$B$5:$B$504,E246,'Market Data'!$D$5:$D$504,1),SUMIFS('Market Data'!$E$5:$E$504,'Market Data'!$A$5:$A$504,I246,'Market Data'!$B$5:$B$504,E246,'Market Data'!$D$5:$D$504,1))))</x:f>
      </x:c>
      <x:c r="M246" s="73" t="str">
        <x:f>IF(A246="","",L246*(1+IF(J246="Buy Order",Settings!$B$16,0)))</x:f>
      </x:c>
      <x:c r="N246" s="73" t="str">
        <x:f>IF(A246="","",G246*M246)</x:f>
      </x:c>
    </x:row>
    <x:row r="247">
      <x:c r="A247" s="42"/>
      <x:c r="B247" s="42"/>
      <x:c r="C247" s="42"/>
      <x:c r="D247" s="42"/>
      <x:c r="E247" s="42"/>
      <x:c r="F247" s="42"/>
      <x:c r="G247" s="70"/>
      <x:c r="H247" s="42"/>
      <x:c r="I247" s="42"/>
      <x:c r="J247" s="42"/>
      <x:c r="K247" s="72"/>
      <x:c r="L247" s="73" t="str">
        <x:f>IF(A247="","",IF(K247&gt;0,K247,IF(J247="Buy Order",SUMIFS('Market Data'!$F$5:$F$504,'Market Data'!$A$5:$A$504,I247,'Market Data'!$B$5:$B$504,E247,'Market Data'!$D$5:$D$504,1),SUMIFS('Market Data'!$E$5:$E$504,'Market Data'!$A$5:$A$504,I247,'Market Data'!$B$5:$B$504,E247,'Market Data'!$D$5:$D$504,1))))</x:f>
      </x:c>
      <x:c r="M247" s="73" t="str">
        <x:f>IF(A247="","",L247*(1+IF(J247="Buy Order",Settings!$B$16,0)))</x:f>
      </x:c>
      <x:c r="N247" s="73" t="str">
        <x:f>IF(A247="","",G247*M247)</x:f>
      </x:c>
    </x:row>
    <x:row r="248">
      <x:c r="A248" s="42"/>
      <x:c r="B248" s="42"/>
      <x:c r="C248" s="42"/>
      <x:c r="D248" s="42"/>
      <x:c r="E248" s="42"/>
      <x:c r="F248" s="42"/>
      <x:c r="G248" s="70"/>
      <x:c r="H248" s="42"/>
      <x:c r="I248" s="42"/>
      <x:c r="J248" s="42"/>
      <x:c r="K248" s="72"/>
      <x:c r="L248" s="73" t="str">
        <x:f>IF(A248="","",IF(K248&gt;0,K248,IF(J248="Buy Order",SUMIFS('Market Data'!$F$5:$F$504,'Market Data'!$A$5:$A$504,I248,'Market Data'!$B$5:$B$504,E248,'Market Data'!$D$5:$D$504,1),SUMIFS('Market Data'!$E$5:$E$504,'Market Data'!$A$5:$A$504,I248,'Market Data'!$B$5:$B$504,E248,'Market Data'!$D$5:$D$504,1))))</x:f>
      </x:c>
      <x:c r="M248" s="73" t="str">
        <x:f>IF(A248="","",L248*(1+IF(J248="Buy Order",Settings!$B$16,0)))</x:f>
      </x:c>
      <x:c r="N248" s="73" t="str">
        <x:f>IF(A248="","",G248*M248)</x:f>
      </x:c>
    </x:row>
    <x:row r="249">
      <x:c r="A249" s="42"/>
      <x:c r="B249" s="42"/>
      <x:c r="C249" s="42"/>
      <x:c r="D249" s="42"/>
      <x:c r="E249" s="42"/>
      <x:c r="F249" s="42"/>
      <x:c r="G249" s="70"/>
      <x:c r="H249" s="42"/>
      <x:c r="I249" s="42"/>
      <x:c r="J249" s="42"/>
      <x:c r="K249" s="72"/>
      <x:c r="L249" s="73" t="str">
        <x:f>IF(A249="","",IF(K249&gt;0,K249,IF(J249="Buy Order",SUMIFS('Market Data'!$F$5:$F$504,'Market Data'!$A$5:$A$504,I249,'Market Data'!$B$5:$B$504,E249,'Market Data'!$D$5:$D$504,1),SUMIFS('Market Data'!$E$5:$E$504,'Market Data'!$A$5:$A$504,I249,'Market Data'!$B$5:$B$504,E249,'Market Data'!$D$5:$D$504,1))))</x:f>
      </x:c>
      <x:c r="M249" s="73" t="str">
        <x:f>IF(A249="","",L249*(1+IF(J249="Buy Order",Settings!$B$16,0)))</x:f>
      </x:c>
      <x:c r="N249" s="73" t="str">
        <x:f>IF(A249="","",G249*M249)</x:f>
      </x:c>
    </x:row>
    <x:row r="250">
      <x:c r="A250" s="42"/>
      <x:c r="B250" s="42"/>
      <x:c r="C250" s="42"/>
      <x:c r="D250" s="42"/>
      <x:c r="E250" s="42"/>
      <x:c r="F250" s="42"/>
      <x:c r="G250" s="70"/>
      <x:c r="H250" s="42"/>
      <x:c r="I250" s="42"/>
      <x:c r="J250" s="42"/>
      <x:c r="K250" s="72"/>
      <x:c r="L250" s="73" t="str">
        <x:f>IF(A250="","",IF(K250&gt;0,K250,IF(J250="Buy Order",SUMIFS('Market Data'!$F$5:$F$504,'Market Data'!$A$5:$A$504,I250,'Market Data'!$B$5:$B$504,E250,'Market Data'!$D$5:$D$504,1),SUMIFS('Market Data'!$E$5:$E$504,'Market Data'!$A$5:$A$504,I250,'Market Data'!$B$5:$B$504,E250,'Market Data'!$D$5:$D$504,1))))</x:f>
      </x:c>
      <x:c r="M250" s="73" t="str">
        <x:f>IF(A250="","",L250*(1+IF(J250="Buy Order",Settings!$B$16,0)))</x:f>
      </x:c>
      <x:c r="N250" s="73" t="str">
        <x:f>IF(A250="","",G250*M250)</x:f>
      </x:c>
    </x:row>
    <x:row r="251">
      <x:c r="A251" s="42"/>
      <x:c r="B251" s="42"/>
      <x:c r="C251" s="42"/>
      <x:c r="D251" s="42"/>
      <x:c r="E251" s="42"/>
      <x:c r="F251" s="42"/>
      <x:c r="G251" s="70"/>
      <x:c r="H251" s="42"/>
      <x:c r="I251" s="42"/>
      <x:c r="J251" s="42"/>
      <x:c r="K251" s="72"/>
      <x:c r="L251" s="73" t="str">
        <x:f>IF(A251="","",IF(K251&gt;0,K251,IF(J251="Buy Order",SUMIFS('Market Data'!$F$5:$F$504,'Market Data'!$A$5:$A$504,I251,'Market Data'!$B$5:$B$504,E251,'Market Data'!$D$5:$D$504,1),SUMIFS('Market Data'!$E$5:$E$504,'Market Data'!$A$5:$A$504,I251,'Market Data'!$B$5:$B$504,E251,'Market Data'!$D$5:$D$504,1))))</x:f>
      </x:c>
      <x:c r="M251" s="73" t="str">
        <x:f>IF(A251="","",L251*(1+IF(J251="Buy Order",Settings!$B$16,0)))</x:f>
      </x:c>
      <x:c r="N251" s="73" t="str">
        <x:f>IF(A251="","",G251*M251)</x:f>
      </x:c>
    </x:row>
    <x:row r="252">
      <x:c r="A252" s="42"/>
      <x:c r="B252" s="42"/>
      <x:c r="C252" s="42"/>
      <x:c r="D252" s="42"/>
      <x:c r="E252" s="42"/>
      <x:c r="F252" s="42"/>
      <x:c r="G252" s="70"/>
      <x:c r="H252" s="42"/>
      <x:c r="I252" s="42"/>
      <x:c r="J252" s="42"/>
      <x:c r="K252" s="72"/>
      <x:c r="L252" s="73" t="str">
        <x:f>IF(A252="","",IF(K252&gt;0,K252,IF(J252="Buy Order",SUMIFS('Market Data'!$F$5:$F$504,'Market Data'!$A$5:$A$504,I252,'Market Data'!$B$5:$B$504,E252,'Market Data'!$D$5:$D$504,1),SUMIFS('Market Data'!$E$5:$E$504,'Market Data'!$A$5:$A$504,I252,'Market Data'!$B$5:$B$504,E252,'Market Data'!$D$5:$D$504,1))))</x:f>
      </x:c>
      <x:c r="M252" s="73" t="str">
        <x:f>IF(A252="","",L252*(1+IF(J252="Buy Order",Settings!$B$16,0)))</x:f>
      </x:c>
      <x:c r="N252" s="73" t="str">
        <x:f>IF(A252="","",G252*M252)</x:f>
      </x:c>
    </x:row>
    <x:row r="253">
      <x:c r="A253" s="42"/>
      <x:c r="B253" s="42"/>
      <x:c r="C253" s="42"/>
      <x:c r="D253" s="42"/>
      <x:c r="E253" s="42"/>
      <x:c r="F253" s="42"/>
      <x:c r="G253" s="70"/>
      <x:c r="H253" s="42"/>
      <x:c r="I253" s="42"/>
      <x:c r="J253" s="42"/>
      <x:c r="K253" s="72"/>
      <x:c r="L253" s="73" t="str">
        <x:f>IF(A253="","",IF(K253&gt;0,K253,IF(J253="Buy Order",SUMIFS('Market Data'!$F$5:$F$504,'Market Data'!$A$5:$A$504,I253,'Market Data'!$B$5:$B$504,E253,'Market Data'!$D$5:$D$504,1),SUMIFS('Market Data'!$E$5:$E$504,'Market Data'!$A$5:$A$504,I253,'Market Data'!$B$5:$B$504,E253,'Market Data'!$D$5:$D$504,1))))</x:f>
      </x:c>
      <x:c r="M253" s="73" t="str">
        <x:f>IF(A253="","",L253*(1+IF(J253="Buy Order",Settings!$B$16,0)))</x:f>
      </x:c>
      <x:c r="N253" s="73" t="str">
        <x:f>IF(A253="","",G253*M253)</x:f>
      </x:c>
    </x:row>
    <x:row r="254">
      <x:c r="A254" s="42"/>
      <x:c r="B254" s="42"/>
      <x:c r="C254" s="42"/>
      <x:c r="D254" s="42"/>
      <x:c r="E254" s="42"/>
      <x:c r="F254" s="42"/>
      <x:c r="G254" s="70"/>
      <x:c r="H254" s="42"/>
      <x:c r="I254" s="42"/>
      <x:c r="J254" s="42"/>
      <x:c r="K254" s="72"/>
      <x:c r="L254" s="73" t="str">
        <x:f>IF(A254="","",IF(K254&gt;0,K254,IF(J254="Buy Order",SUMIFS('Market Data'!$F$5:$F$504,'Market Data'!$A$5:$A$504,I254,'Market Data'!$B$5:$B$504,E254,'Market Data'!$D$5:$D$504,1),SUMIFS('Market Data'!$E$5:$E$504,'Market Data'!$A$5:$A$504,I254,'Market Data'!$B$5:$B$504,E254,'Market Data'!$D$5:$D$504,1))))</x:f>
      </x:c>
      <x:c r="M254" s="73" t="str">
        <x:f>IF(A254="","",L254*(1+IF(J254="Buy Order",Settings!$B$16,0)))</x:f>
      </x:c>
      <x:c r="N254" s="73" t="str">
        <x:f>IF(A254="","",G254*M254)</x:f>
      </x:c>
    </x:row>
    <x:row r="255">
      <x:c r="A255" s="42"/>
      <x:c r="B255" s="42"/>
      <x:c r="C255" s="42"/>
      <x:c r="D255" s="42"/>
      <x:c r="E255" s="42"/>
      <x:c r="F255" s="42"/>
      <x:c r="G255" s="70"/>
      <x:c r="H255" s="42"/>
      <x:c r="I255" s="42"/>
      <x:c r="J255" s="42"/>
      <x:c r="K255" s="72"/>
      <x:c r="L255" s="73" t="str">
        <x:f>IF(A255="","",IF(K255&gt;0,K255,IF(J255="Buy Order",SUMIFS('Market Data'!$F$5:$F$504,'Market Data'!$A$5:$A$504,I255,'Market Data'!$B$5:$B$504,E255,'Market Data'!$D$5:$D$504,1),SUMIFS('Market Data'!$E$5:$E$504,'Market Data'!$A$5:$A$504,I255,'Market Data'!$B$5:$B$504,E255,'Market Data'!$D$5:$D$504,1))))</x:f>
      </x:c>
      <x:c r="M255" s="73" t="str">
        <x:f>IF(A255="","",L255*(1+IF(J255="Buy Order",Settings!$B$16,0)))</x:f>
      </x:c>
      <x:c r="N255" s="73" t="str">
        <x:f>IF(A255="","",G255*M255)</x:f>
      </x:c>
    </x:row>
    <x:row r="256">
      <x:c r="A256" s="42"/>
      <x:c r="B256" s="42"/>
      <x:c r="C256" s="42"/>
      <x:c r="D256" s="42"/>
      <x:c r="E256" s="42"/>
      <x:c r="F256" s="42"/>
      <x:c r="G256" s="70"/>
      <x:c r="H256" s="42"/>
      <x:c r="I256" s="42"/>
      <x:c r="J256" s="42"/>
      <x:c r="K256" s="72"/>
      <x:c r="L256" s="73" t="str">
        <x:f>IF(A256="","",IF(K256&gt;0,K256,IF(J256="Buy Order",SUMIFS('Market Data'!$F$5:$F$504,'Market Data'!$A$5:$A$504,I256,'Market Data'!$B$5:$B$504,E256,'Market Data'!$D$5:$D$504,1),SUMIFS('Market Data'!$E$5:$E$504,'Market Data'!$A$5:$A$504,I256,'Market Data'!$B$5:$B$504,E256,'Market Data'!$D$5:$D$504,1))))</x:f>
      </x:c>
      <x:c r="M256" s="73" t="str">
        <x:f>IF(A256="","",L256*(1+IF(J256="Buy Order",Settings!$B$16,0)))</x:f>
      </x:c>
      <x:c r="N256" s="73" t="str">
        <x:f>IF(A256="","",G256*M256)</x:f>
      </x:c>
    </x:row>
    <x:row r="257">
      <x:c r="A257" s="42"/>
      <x:c r="B257" s="42"/>
      <x:c r="C257" s="42"/>
      <x:c r="D257" s="42"/>
      <x:c r="E257" s="42"/>
      <x:c r="F257" s="42"/>
      <x:c r="G257" s="70"/>
      <x:c r="H257" s="42"/>
      <x:c r="I257" s="42"/>
      <x:c r="J257" s="42"/>
      <x:c r="K257" s="72"/>
      <x:c r="L257" s="73" t="str">
        <x:f>IF(A257="","",IF(K257&gt;0,K257,IF(J257="Buy Order",SUMIFS('Market Data'!$F$5:$F$504,'Market Data'!$A$5:$A$504,I257,'Market Data'!$B$5:$B$504,E257,'Market Data'!$D$5:$D$504,1),SUMIFS('Market Data'!$E$5:$E$504,'Market Data'!$A$5:$A$504,I257,'Market Data'!$B$5:$B$504,E257,'Market Data'!$D$5:$D$504,1))))</x:f>
      </x:c>
      <x:c r="M257" s="73" t="str">
        <x:f>IF(A257="","",L257*(1+IF(J257="Buy Order",Settings!$B$16,0)))</x:f>
      </x:c>
      <x:c r="N257" s="73" t="str">
        <x:f>IF(A257="","",G257*M257)</x:f>
      </x:c>
    </x:row>
    <x:row r="258">
      <x:c r="A258" s="42"/>
      <x:c r="B258" s="42"/>
      <x:c r="C258" s="42"/>
      <x:c r="D258" s="42"/>
      <x:c r="E258" s="42"/>
      <x:c r="F258" s="42"/>
      <x:c r="G258" s="70"/>
      <x:c r="H258" s="42"/>
      <x:c r="I258" s="42"/>
      <x:c r="J258" s="42"/>
      <x:c r="K258" s="72"/>
      <x:c r="L258" s="73" t="str">
        <x:f>IF(A258="","",IF(K258&gt;0,K258,IF(J258="Buy Order",SUMIFS('Market Data'!$F$5:$F$504,'Market Data'!$A$5:$A$504,I258,'Market Data'!$B$5:$B$504,E258,'Market Data'!$D$5:$D$504,1),SUMIFS('Market Data'!$E$5:$E$504,'Market Data'!$A$5:$A$504,I258,'Market Data'!$B$5:$B$504,E258,'Market Data'!$D$5:$D$504,1))))</x:f>
      </x:c>
      <x:c r="M258" s="73" t="str">
        <x:f>IF(A258="","",L258*(1+IF(J258="Buy Order",Settings!$B$16,0)))</x:f>
      </x:c>
      <x:c r="N258" s="73" t="str">
        <x:f>IF(A258="","",G258*M258)</x:f>
      </x:c>
    </x:row>
    <x:row r="259">
      <x:c r="A259" s="42"/>
      <x:c r="B259" s="42"/>
      <x:c r="C259" s="42"/>
      <x:c r="D259" s="42"/>
      <x:c r="E259" s="42"/>
      <x:c r="F259" s="42"/>
      <x:c r="G259" s="70"/>
      <x:c r="H259" s="42"/>
      <x:c r="I259" s="42"/>
      <x:c r="J259" s="42"/>
      <x:c r="K259" s="72"/>
      <x:c r="L259" s="73" t="str">
        <x:f>IF(A259="","",IF(K259&gt;0,K259,IF(J259="Buy Order",SUMIFS('Market Data'!$F$5:$F$504,'Market Data'!$A$5:$A$504,I259,'Market Data'!$B$5:$B$504,E259,'Market Data'!$D$5:$D$504,1),SUMIFS('Market Data'!$E$5:$E$504,'Market Data'!$A$5:$A$504,I259,'Market Data'!$B$5:$B$504,E259,'Market Data'!$D$5:$D$504,1))))</x:f>
      </x:c>
      <x:c r="M259" s="73" t="str">
        <x:f>IF(A259="","",L259*(1+IF(J259="Buy Order",Settings!$B$16,0)))</x:f>
      </x:c>
      <x:c r="N259" s="73" t="str">
        <x:f>IF(A259="","",G259*M259)</x:f>
      </x:c>
    </x:row>
    <x:row r="260">
      <x:c r="A260" s="42"/>
      <x:c r="B260" s="42"/>
      <x:c r="C260" s="42"/>
      <x:c r="D260" s="42"/>
      <x:c r="E260" s="42"/>
      <x:c r="F260" s="42"/>
      <x:c r="G260" s="70"/>
      <x:c r="H260" s="42"/>
      <x:c r="I260" s="42"/>
      <x:c r="J260" s="42"/>
      <x:c r="K260" s="72"/>
      <x:c r="L260" s="73" t="str">
        <x:f>IF(A260="","",IF(K260&gt;0,K260,IF(J260="Buy Order",SUMIFS('Market Data'!$F$5:$F$504,'Market Data'!$A$5:$A$504,I260,'Market Data'!$B$5:$B$504,E260,'Market Data'!$D$5:$D$504,1),SUMIFS('Market Data'!$E$5:$E$504,'Market Data'!$A$5:$A$504,I260,'Market Data'!$B$5:$B$504,E260,'Market Data'!$D$5:$D$504,1))))</x:f>
      </x:c>
      <x:c r="M260" s="73" t="str">
        <x:f>IF(A260="","",L260*(1+IF(J260="Buy Order",Settings!$B$16,0)))</x:f>
      </x:c>
      <x:c r="N260" s="73" t="str">
        <x:f>IF(A260="","",G260*M260)</x:f>
      </x:c>
    </x:row>
    <x:row r="261">
      <x:c r="A261" s="42"/>
      <x:c r="B261" s="42"/>
      <x:c r="C261" s="42"/>
      <x:c r="D261" s="42"/>
      <x:c r="E261" s="42"/>
      <x:c r="F261" s="42"/>
      <x:c r="G261" s="70"/>
      <x:c r="H261" s="42"/>
      <x:c r="I261" s="42"/>
      <x:c r="J261" s="42"/>
      <x:c r="K261" s="72"/>
      <x:c r="L261" s="73" t="str">
        <x:f>IF(A261="","",IF(K261&gt;0,K261,IF(J261="Buy Order",SUMIFS('Market Data'!$F$5:$F$504,'Market Data'!$A$5:$A$504,I261,'Market Data'!$B$5:$B$504,E261,'Market Data'!$D$5:$D$504,1),SUMIFS('Market Data'!$E$5:$E$504,'Market Data'!$A$5:$A$504,I261,'Market Data'!$B$5:$B$504,E261,'Market Data'!$D$5:$D$504,1))))</x:f>
      </x:c>
      <x:c r="M261" s="73" t="str">
        <x:f>IF(A261="","",L261*(1+IF(J261="Buy Order",Settings!$B$16,0)))</x:f>
      </x:c>
      <x:c r="N261" s="73" t="str">
        <x:f>IF(A261="","",G261*M261)</x:f>
      </x:c>
    </x:row>
    <x:row r="262">
      <x:c r="A262" s="42"/>
      <x:c r="B262" s="42"/>
      <x:c r="C262" s="42"/>
      <x:c r="D262" s="42"/>
      <x:c r="E262" s="42"/>
      <x:c r="F262" s="42"/>
      <x:c r="G262" s="70"/>
      <x:c r="H262" s="42"/>
      <x:c r="I262" s="42"/>
      <x:c r="J262" s="42"/>
      <x:c r="K262" s="72"/>
      <x:c r="L262" s="73" t="str">
        <x:f>IF(A262="","",IF(K262&gt;0,K262,IF(J262="Buy Order",SUMIFS('Market Data'!$F$5:$F$504,'Market Data'!$A$5:$A$504,I262,'Market Data'!$B$5:$B$504,E262,'Market Data'!$D$5:$D$504,1),SUMIFS('Market Data'!$E$5:$E$504,'Market Data'!$A$5:$A$504,I262,'Market Data'!$B$5:$B$504,E262,'Market Data'!$D$5:$D$504,1))))</x:f>
      </x:c>
      <x:c r="M262" s="73" t="str">
        <x:f>IF(A262="","",L262*(1+IF(J262="Buy Order",Settings!$B$16,0)))</x:f>
      </x:c>
      <x:c r="N262" s="73" t="str">
        <x:f>IF(A262="","",G262*M262)</x:f>
      </x:c>
    </x:row>
    <x:row r="263">
      <x:c r="A263" s="42"/>
      <x:c r="B263" s="42"/>
      <x:c r="C263" s="42"/>
      <x:c r="D263" s="42"/>
      <x:c r="E263" s="42"/>
      <x:c r="F263" s="42"/>
      <x:c r="G263" s="70"/>
      <x:c r="H263" s="42"/>
      <x:c r="I263" s="42"/>
      <x:c r="J263" s="42"/>
      <x:c r="K263" s="72"/>
      <x:c r="L263" s="73" t="str">
        <x:f>IF(A263="","",IF(K263&gt;0,K263,IF(J263="Buy Order",SUMIFS('Market Data'!$F$5:$F$504,'Market Data'!$A$5:$A$504,I263,'Market Data'!$B$5:$B$504,E263,'Market Data'!$D$5:$D$504,1),SUMIFS('Market Data'!$E$5:$E$504,'Market Data'!$A$5:$A$504,I263,'Market Data'!$B$5:$B$504,E263,'Market Data'!$D$5:$D$504,1))))</x:f>
      </x:c>
      <x:c r="M263" s="73" t="str">
        <x:f>IF(A263="","",L263*(1+IF(J263="Buy Order",Settings!$B$16,0)))</x:f>
      </x:c>
      <x:c r="N263" s="73" t="str">
        <x:f>IF(A263="","",G263*M263)</x:f>
      </x:c>
    </x:row>
    <x:row r="264">
      <x:c r="A264" s="42"/>
      <x:c r="B264" s="42"/>
      <x:c r="C264" s="42"/>
      <x:c r="D264" s="42"/>
      <x:c r="E264" s="42"/>
      <x:c r="F264" s="42"/>
      <x:c r="G264" s="70"/>
      <x:c r="H264" s="42"/>
      <x:c r="I264" s="42"/>
      <x:c r="J264" s="42"/>
      <x:c r="K264" s="72"/>
      <x:c r="L264" s="73" t="str">
        <x:f>IF(A264="","",IF(K264&gt;0,K264,IF(J264="Buy Order",SUMIFS('Market Data'!$F$5:$F$504,'Market Data'!$A$5:$A$504,I264,'Market Data'!$B$5:$B$504,E264,'Market Data'!$D$5:$D$504,1),SUMIFS('Market Data'!$E$5:$E$504,'Market Data'!$A$5:$A$504,I264,'Market Data'!$B$5:$B$504,E264,'Market Data'!$D$5:$D$504,1))))</x:f>
      </x:c>
      <x:c r="M264" s="73" t="str">
        <x:f>IF(A264="","",L264*(1+IF(J264="Buy Order",Settings!$B$16,0)))</x:f>
      </x:c>
      <x:c r="N264" s="73" t="str">
        <x:f>IF(A264="","",G264*M264)</x:f>
      </x:c>
    </x:row>
    <x:row r="265">
      <x:c r="A265" s="42"/>
      <x:c r="B265" s="42"/>
      <x:c r="C265" s="42"/>
      <x:c r="D265" s="42"/>
      <x:c r="E265" s="42"/>
      <x:c r="F265" s="42"/>
      <x:c r="G265" s="70"/>
      <x:c r="H265" s="42"/>
      <x:c r="I265" s="42"/>
      <x:c r="J265" s="42"/>
      <x:c r="K265" s="72"/>
      <x:c r="L265" s="73" t="str">
        <x:f>IF(A265="","",IF(K265&gt;0,K265,IF(J265="Buy Order",SUMIFS('Market Data'!$F$5:$F$504,'Market Data'!$A$5:$A$504,I265,'Market Data'!$B$5:$B$504,E265,'Market Data'!$D$5:$D$504,1),SUMIFS('Market Data'!$E$5:$E$504,'Market Data'!$A$5:$A$504,I265,'Market Data'!$B$5:$B$504,E265,'Market Data'!$D$5:$D$504,1))))</x:f>
      </x:c>
      <x:c r="M265" s="73" t="str">
        <x:f>IF(A265="","",L265*(1+IF(J265="Buy Order",Settings!$B$16,0)))</x:f>
      </x:c>
      <x:c r="N265" s="73" t="str">
        <x:f>IF(A265="","",G265*M265)</x:f>
      </x:c>
    </x:row>
    <x:row r="266">
      <x:c r="A266" s="42"/>
      <x:c r="B266" s="42"/>
      <x:c r="C266" s="42"/>
      <x:c r="D266" s="42"/>
      <x:c r="E266" s="42"/>
      <x:c r="F266" s="42"/>
      <x:c r="G266" s="70"/>
      <x:c r="H266" s="42"/>
      <x:c r="I266" s="42"/>
      <x:c r="J266" s="42"/>
      <x:c r="K266" s="72"/>
      <x:c r="L266" s="73" t="str">
        <x:f>IF(A266="","",IF(K266&gt;0,K266,IF(J266="Buy Order",SUMIFS('Market Data'!$F$5:$F$504,'Market Data'!$A$5:$A$504,I266,'Market Data'!$B$5:$B$504,E266,'Market Data'!$D$5:$D$504,1),SUMIFS('Market Data'!$E$5:$E$504,'Market Data'!$A$5:$A$504,I266,'Market Data'!$B$5:$B$504,E266,'Market Data'!$D$5:$D$504,1))))</x:f>
      </x:c>
      <x:c r="M266" s="73" t="str">
        <x:f>IF(A266="","",L266*(1+IF(J266="Buy Order",Settings!$B$16,0)))</x:f>
      </x:c>
      <x:c r="N266" s="73" t="str">
        <x:f>IF(A266="","",G266*M266)</x:f>
      </x:c>
    </x:row>
    <x:row r="267">
      <x:c r="A267" s="42"/>
      <x:c r="B267" s="42"/>
      <x:c r="C267" s="42"/>
      <x:c r="D267" s="42"/>
      <x:c r="E267" s="42"/>
      <x:c r="F267" s="42"/>
      <x:c r="G267" s="70"/>
      <x:c r="H267" s="42"/>
      <x:c r="I267" s="42"/>
      <x:c r="J267" s="42"/>
      <x:c r="K267" s="72"/>
      <x:c r="L267" s="73" t="str">
        <x:f>IF(A267="","",IF(K267&gt;0,K267,IF(J267="Buy Order",SUMIFS('Market Data'!$F$5:$F$504,'Market Data'!$A$5:$A$504,I267,'Market Data'!$B$5:$B$504,E267,'Market Data'!$D$5:$D$504,1),SUMIFS('Market Data'!$E$5:$E$504,'Market Data'!$A$5:$A$504,I267,'Market Data'!$B$5:$B$504,E267,'Market Data'!$D$5:$D$504,1))))</x:f>
      </x:c>
      <x:c r="M267" s="73" t="str">
        <x:f>IF(A267="","",L267*(1+IF(J267="Buy Order",Settings!$B$16,0)))</x:f>
      </x:c>
      <x:c r="N267" s="73" t="str">
        <x:f>IF(A267="","",G267*M267)</x:f>
      </x:c>
    </x:row>
    <x:row r="268">
      <x:c r="A268" s="42"/>
      <x:c r="B268" s="42"/>
      <x:c r="C268" s="42"/>
      <x:c r="D268" s="42"/>
      <x:c r="E268" s="42"/>
      <x:c r="F268" s="42"/>
      <x:c r="G268" s="70"/>
      <x:c r="H268" s="42"/>
      <x:c r="I268" s="42"/>
      <x:c r="J268" s="42"/>
      <x:c r="K268" s="72"/>
      <x:c r="L268" s="73" t="str">
        <x:f>IF(A268="","",IF(K268&gt;0,K268,IF(J268="Buy Order",SUMIFS('Market Data'!$F$5:$F$504,'Market Data'!$A$5:$A$504,I268,'Market Data'!$B$5:$B$504,E268,'Market Data'!$D$5:$D$504,1),SUMIFS('Market Data'!$E$5:$E$504,'Market Data'!$A$5:$A$504,I268,'Market Data'!$B$5:$B$504,E268,'Market Data'!$D$5:$D$504,1))))</x:f>
      </x:c>
      <x:c r="M268" s="73" t="str">
        <x:f>IF(A268="","",L268*(1+IF(J268="Buy Order",Settings!$B$16,0)))</x:f>
      </x:c>
      <x:c r="N268" s="73" t="str">
        <x:f>IF(A268="","",G268*M268)</x:f>
      </x:c>
    </x:row>
    <x:row r="269">
      <x:c r="A269" s="42"/>
      <x:c r="B269" s="42"/>
      <x:c r="C269" s="42"/>
      <x:c r="D269" s="42"/>
      <x:c r="E269" s="42"/>
      <x:c r="F269" s="42"/>
      <x:c r="G269" s="70"/>
      <x:c r="H269" s="42"/>
      <x:c r="I269" s="42"/>
      <x:c r="J269" s="42"/>
      <x:c r="K269" s="72"/>
      <x:c r="L269" s="73" t="str">
        <x:f>IF(A269="","",IF(K269&gt;0,K269,IF(J269="Buy Order",SUMIFS('Market Data'!$F$5:$F$504,'Market Data'!$A$5:$A$504,I269,'Market Data'!$B$5:$B$504,E269,'Market Data'!$D$5:$D$504,1),SUMIFS('Market Data'!$E$5:$E$504,'Market Data'!$A$5:$A$504,I269,'Market Data'!$B$5:$B$504,E269,'Market Data'!$D$5:$D$504,1))))</x:f>
      </x:c>
      <x:c r="M269" s="73" t="str">
        <x:f>IF(A269="","",L269*(1+IF(J269="Buy Order",Settings!$B$16,0)))</x:f>
      </x:c>
      <x:c r="N269" s="73" t="str">
        <x:f>IF(A269="","",G269*M269)</x:f>
      </x:c>
    </x:row>
    <x:row r="270">
      <x:c r="A270" s="42"/>
      <x:c r="B270" s="42"/>
      <x:c r="C270" s="42"/>
      <x:c r="D270" s="42"/>
      <x:c r="E270" s="42"/>
      <x:c r="F270" s="42"/>
      <x:c r="G270" s="70"/>
      <x:c r="H270" s="42"/>
      <x:c r="I270" s="42"/>
      <x:c r="J270" s="42"/>
      <x:c r="K270" s="72"/>
      <x:c r="L270" s="73" t="str">
        <x:f>IF(A270="","",IF(K270&gt;0,K270,IF(J270="Buy Order",SUMIFS('Market Data'!$F$5:$F$504,'Market Data'!$A$5:$A$504,I270,'Market Data'!$B$5:$B$504,E270,'Market Data'!$D$5:$D$504,1),SUMIFS('Market Data'!$E$5:$E$504,'Market Data'!$A$5:$A$504,I270,'Market Data'!$B$5:$B$504,E270,'Market Data'!$D$5:$D$504,1))))</x:f>
      </x:c>
      <x:c r="M270" s="73" t="str">
        <x:f>IF(A270="","",L270*(1+IF(J270="Buy Order",Settings!$B$16,0)))</x:f>
      </x:c>
      <x:c r="N270" s="73" t="str">
        <x:f>IF(A270="","",G270*M270)</x:f>
      </x:c>
    </x:row>
    <x:row r="271">
      <x:c r="A271" s="42"/>
      <x:c r="B271" s="42"/>
      <x:c r="C271" s="42"/>
      <x:c r="D271" s="42"/>
      <x:c r="E271" s="42"/>
      <x:c r="F271" s="42"/>
      <x:c r="G271" s="70"/>
      <x:c r="H271" s="42"/>
      <x:c r="I271" s="42"/>
      <x:c r="J271" s="42"/>
      <x:c r="K271" s="72"/>
      <x:c r="L271" s="73" t="str">
        <x:f>IF(A271="","",IF(K271&gt;0,K271,IF(J271="Buy Order",SUMIFS('Market Data'!$F$5:$F$504,'Market Data'!$A$5:$A$504,I271,'Market Data'!$B$5:$B$504,E271,'Market Data'!$D$5:$D$504,1),SUMIFS('Market Data'!$E$5:$E$504,'Market Data'!$A$5:$A$504,I271,'Market Data'!$B$5:$B$504,E271,'Market Data'!$D$5:$D$504,1))))</x:f>
      </x:c>
      <x:c r="M271" s="73" t="str">
        <x:f>IF(A271="","",L271*(1+IF(J271="Buy Order",Settings!$B$16,0)))</x:f>
      </x:c>
      <x:c r="N271" s="73" t="str">
        <x:f>IF(A271="","",G271*M271)</x:f>
      </x:c>
    </x:row>
    <x:row r="272">
      <x:c r="A272" s="42"/>
      <x:c r="B272" s="42"/>
      <x:c r="C272" s="42"/>
      <x:c r="D272" s="42"/>
      <x:c r="E272" s="42"/>
      <x:c r="F272" s="42"/>
      <x:c r="G272" s="70"/>
      <x:c r="H272" s="42"/>
      <x:c r="I272" s="42"/>
      <x:c r="J272" s="42"/>
      <x:c r="K272" s="72"/>
      <x:c r="L272" s="73" t="str">
        <x:f>IF(A272="","",IF(K272&gt;0,K272,IF(J272="Buy Order",SUMIFS('Market Data'!$F$5:$F$504,'Market Data'!$A$5:$A$504,I272,'Market Data'!$B$5:$B$504,E272,'Market Data'!$D$5:$D$504,1),SUMIFS('Market Data'!$E$5:$E$504,'Market Data'!$A$5:$A$504,I272,'Market Data'!$B$5:$B$504,E272,'Market Data'!$D$5:$D$504,1))))</x:f>
      </x:c>
      <x:c r="M272" s="73" t="str">
        <x:f>IF(A272="","",L272*(1+IF(J272="Buy Order",Settings!$B$16,0)))</x:f>
      </x:c>
      <x:c r="N272" s="73" t="str">
        <x:f>IF(A272="","",G272*M272)</x:f>
      </x:c>
    </x:row>
    <x:row r="273">
      <x:c r="A273" s="42"/>
      <x:c r="B273" s="42"/>
      <x:c r="C273" s="42"/>
      <x:c r="D273" s="42"/>
      <x:c r="E273" s="42"/>
      <x:c r="F273" s="42"/>
      <x:c r="G273" s="70"/>
      <x:c r="H273" s="42"/>
      <x:c r="I273" s="42"/>
      <x:c r="J273" s="42"/>
      <x:c r="K273" s="72"/>
      <x:c r="L273" s="73" t="str">
        <x:f>IF(A273="","",IF(K273&gt;0,K273,IF(J273="Buy Order",SUMIFS('Market Data'!$F$5:$F$504,'Market Data'!$A$5:$A$504,I273,'Market Data'!$B$5:$B$504,E273,'Market Data'!$D$5:$D$504,1),SUMIFS('Market Data'!$E$5:$E$504,'Market Data'!$A$5:$A$504,I273,'Market Data'!$B$5:$B$504,E273,'Market Data'!$D$5:$D$504,1))))</x:f>
      </x:c>
      <x:c r="M273" s="73" t="str">
        <x:f>IF(A273="","",L273*(1+IF(J273="Buy Order",Settings!$B$16,0)))</x:f>
      </x:c>
      <x:c r="N273" s="73" t="str">
        <x:f>IF(A273="","",G273*M273)</x:f>
      </x:c>
    </x:row>
    <x:row r="274">
      <x:c r="A274" s="42"/>
      <x:c r="B274" s="42"/>
      <x:c r="C274" s="42"/>
      <x:c r="D274" s="42"/>
      <x:c r="E274" s="42"/>
      <x:c r="F274" s="42"/>
      <x:c r="G274" s="70"/>
      <x:c r="H274" s="42"/>
      <x:c r="I274" s="42"/>
      <x:c r="J274" s="42"/>
      <x:c r="K274" s="72"/>
      <x:c r="L274" s="73" t="str">
        <x:f>IF(A274="","",IF(K274&gt;0,K274,IF(J274="Buy Order",SUMIFS('Market Data'!$F$5:$F$504,'Market Data'!$A$5:$A$504,I274,'Market Data'!$B$5:$B$504,E274,'Market Data'!$D$5:$D$504,1),SUMIFS('Market Data'!$E$5:$E$504,'Market Data'!$A$5:$A$504,I274,'Market Data'!$B$5:$B$504,E274,'Market Data'!$D$5:$D$504,1))))</x:f>
      </x:c>
      <x:c r="M274" s="73" t="str">
        <x:f>IF(A274="","",L274*(1+IF(J274="Buy Order",Settings!$B$16,0)))</x:f>
      </x:c>
      <x:c r="N274" s="73" t="str">
        <x:f>IF(A274="","",G274*M274)</x:f>
      </x:c>
    </x:row>
    <x:row r="275">
      <x:c r="A275" s="42"/>
      <x:c r="B275" s="42"/>
      <x:c r="C275" s="42"/>
      <x:c r="D275" s="42"/>
      <x:c r="E275" s="42"/>
      <x:c r="F275" s="42"/>
      <x:c r="G275" s="70"/>
      <x:c r="H275" s="42"/>
      <x:c r="I275" s="42"/>
      <x:c r="J275" s="42"/>
      <x:c r="K275" s="72"/>
      <x:c r="L275" s="73" t="str">
        <x:f>IF(A275="","",IF(K275&gt;0,K275,IF(J275="Buy Order",SUMIFS('Market Data'!$F$5:$F$504,'Market Data'!$A$5:$A$504,I275,'Market Data'!$B$5:$B$504,E275,'Market Data'!$D$5:$D$504,1),SUMIFS('Market Data'!$E$5:$E$504,'Market Data'!$A$5:$A$504,I275,'Market Data'!$B$5:$B$504,E275,'Market Data'!$D$5:$D$504,1))))</x:f>
      </x:c>
      <x:c r="M275" s="73" t="str">
        <x:f>IF(A275="","",L275*(1+IF(J275="Buy Order",Settings!$B$16,0)))</x:f>
      </x:c>
      <x:c r="N275" s="73" t="str">
        <x:f>IF(A275="","",G275*M275)</x:f>
      </x:c>
    </x:row>
    <x:row r="276">
      <x:c r="A276" s="42"/>
      <x:c r="B276" s="42"/>
      <x:c r="C276" s="42"/>
      <x:c r="D276" s="42"/>
      <x:c r="E276" s="42"/>
      <x:c r="F276" s="42"/>
      <x:c r="G276" s="70"/>
      <x:c r="H276" s="42"/>
      <x:c r="I276" s="42"/>
      <x:c r="J276" s="42"/>
      <x:c r="K276" s="72"/>
      <x:c r="L276" s="73" t="str">
        <x:f>IF(A276="","",IF(K276&gt;0,K276,IF(J276="Buy Order",SUMIFS('Market Data'!$F$5:$F$504,'Market Data'!$A$5:$A$504,I276,'Market Data'!$B$5:$B$504,E276,'Market Data'!$D$5:$D$504,1),SUMIFS('Market Data'!$E$5:$E$504,'Market Data'!$A$5:$A$504,I276,'Market Data'!$B$5:$B$504,E276,'Market Data'!$D$5:$D$504,1))))</x:f>
      </x:c>
      <x:c r="M276" s="73" t="str">
        <x:f>IF(A276="","",L276*(1+IF(J276="Buy Order",Settings!$B$16,0)))</x:f>
      </x:c>
      <x:c r="N276" s="73" t="str">
        <x:f>IF(A276="","",G276*M276)</x:f>
      </x:c>
    </x:row>
    <x:row r="277">
      <x:c r="A277" s="42"/>
      <x:c r="B277" s="42"/>
      <x:c r="C277" s="42"/>
      <x:c r="D277" s="42"/>
      <x:c r="E277" s="42"/>
      <x:c r="F277" s="42"/>
      <x:c r="G277" s="70"/>
      <x:c r="H277" s="42"/>
      <x:c r="I277" s="42"/>
      <x:c r="J277" s="42"/>
      <x:c r="K277" s="72"/>
      <x:c r="L277" s="73" t="str">
        <x:f>IF(A277="","",IF(K277&gt;0,K277,IF(J277="Buy Order",SUMIFS('Market Data'!$F$5:$F$504,'Market Data'!$A$5:$A$504,I277,'Market Data'!$B$5:$B$504,E277,'Market Data'!$D$5:$D$504,1),SUMIFS('Market Data'!$E$5:$E$504,'Market Data'!$A$5:$A$504,I277,'Market Data'!$B$5:$B$504,E277,'Market Data'!$D$5:$D$504,1))))</x:f>
      </x:c>
      <x:c r="M277" s="73" t="str">
        <x:f>IF(A277="","",L277*(1+IF(J277="Buy Order",Settings!$B$16,0)))</x:f>
      </x:c>
      <x:c r="N277" s="73" t="str">
        <x:f>IF(A277="","",G277*M277)</x:f>
      </x:c>
    </x:row>
    <x:row r="278">
      <x:c r="A278" s="42"/>
      <x:c r="B278" s="42"/>
      <x:c r="C278" s="42"/>
      <x:c r="D278" s="42"/>
      <x:c r="E278" s="42"/>
      <x:c r="F278" s="42"/>
      <x:c r="G278" s="70"/>
      <x:c r="H278" s="42"/>
      <x:c r="I278" s="42"/>
      <x:c r="J278" s="42"/>
      <x:c r="K278" s="72"/>
      <x:c r="L278" s="73" t="str">
        <x:f>IF(A278="","",IF(K278&gt;0,K278,IF(J278="Buy Order",SUMIFS('Market Data'!$F$5:$F$504,'Market Data'!$A$5:$A$504,I278,'Market Data'!$B$5:$B$504,E278,'Market Data'!$D$5:$D$504,1),SUMIFS('Market Data'!$E$5:$E$504,'Market Data'!$A$5:$A$504,I278,'Market Data'!$B$5:$B$504,E278,'Market Data'!$D$5:$D$504,1))))</x:f>
      </x:c>
      <x:c r="M278" s="73" t="str">
        <x:f>IF(A278="","",L278*(1+IF(J278="Buy Order",Settings!$B$16,0)))</x:f>
      </x:c>
      <x:c r="N278" s="73" t="str">
        <x:f>IF(A278="","",G278*M278)</x:f>
      </x:c>
    </x:row>
    <x:row r="279">
      <x:c r="A279" s="42"/>
      <x:c r="B279" s="42"/>
      <x:c r="C279" s="42"/>
      <x:c r="D279" s="42"/>
      <x:c r="E279" s="42"/>
      <x:c r="F279" s="42"/>
      <x:c r="G279" s="70"/>
      <x:c r="H279" s="42"/>
      <x:c r="I279" s="42"/>
      <x:c r="J279" s="42"/>
      <x:c r="K279" s="72"/>
      <x:c r="L279" s="73" t="str">
        <x:f>IF(A279="","",IF(K279&gt;0,K279,IF(J279="Buy Order",SUMIFS('Market Data'!$F$5:$F$504,'Market Data'!$A$5:$A$504,I279,'Market Data'!$B$5:$B$504,E279,'Market Data'!$D$5:$D$504,1),SUMIFS('Market Data'!$E$5:$E$504,'Market Data'!$A$5:$A$504,I279,'Market Data'!$B$5:$B$504,E279,'Market Data'!$D$5:$D$504,1))))</x:f>
      </x:c>
      <x:c r="M279" s="73" t="str">
        <x:f>IF(A279="","",L279*(1+IF(J279="Buy Order",Settings!$B$16,0)))</x:f>
      </x:c>
      <x:c r="N279" s="73" t="str">
        <x:f>IF(A279="","",G279*M279)</x:f>
      </x:c>
    </x:row>
    <x:row r="280">
      <x:c r="A280" s="42"/>
      <x:c r="B280" s="42"/>
      <x:c r="C280" s="42"/>
      <x:c r="D280" s="42"/>
      <x:c r="E280" s="42"/>
      <x:c r="F280" s="42"/>
      <x:c r="G280" s="70"/>
      <x:c r="H280" s="42"/>
      <x:c r="I280" s="42"/>
      <x:c r="J280" s="42"/>
      <x:c r="K280" s="72"/>
      <x:c r="L280" s="73" t="str">
        <x:f>IF(A280="","",IF(K280&gt;0,K280,IF(J280="Buy Order",SUMIFS('Market Data'!$F$5:$F$504,'Market Data'!$A$5:$A$504,I280,'Market Data'!$B$5:$B$504,E280,'Market Data'!$D$5:$D$504,1),SUMIFS('Market Data'!$E$5:$E$504,'Market Data'!$A$5:$A$504,I280,'Market Data'!$B$5:$B$504,E280,'Market Data'!$D$5:$D$504,1))))</x:f>
      </x:c>
      <x:c r="M280" s="73" t="str">
        <x:f>IF(A280="","",L280*(1+IF(J280="Buy Order",Settings!$B$16,0)))</x:f>
      </x:c>
      <x:c r="N280" s="73" t="str">
        <x:f>IF(A280="","",G280*M280)</x:f>
      </x:c>
    </x:row>
    <x:row r="281">
      <x:c r="A281" s="42"/>
      <x:c r="B281" s="42"/>
      <x:c r="C281" s="42"/>
      <x:c r="D281" s="42"/>
      <x:c r="E281" s="42"/>
      <x:c r="F281" s="42"/>
      <x:c r="G281" s="70"/>
      <x:c r="H281" s="42"/>
      <x:c r="I281" s="42"/>
      <x:c r="J281" s="42"/>
      <x:c r="K281" s="72"/>
      <x:c r="L281" s="73" t="str">
        <x:f>IF(A281="","",IF(K281&gt;0,K281,IF(J281="Buy Order",SUMIFS('Market Data'!$F$5:$F$504,'Market Data'!$A$5:$A$504,I281,'Market Data'!$B$5:$B$504,E281,'Market Data'!$D$5:$D$504,1),SUMIFS('Market Data'!$E$5:$E$504,'Market Data'!$A$5:$A$504,I281,'Market Data'!$B$5:$B$504,E281,'Market Data'!$D$5:$D$504,1))))</x:f>
      </x:c>
      <x:c r="M281" s="73" t="str">
        <x:f>IF(A281="","",L281*(1+IF(J281="Buy Order",Settings!$B$16,0)))</x:f>
      </x:c>
      <x:c r="N281" s="73" t="str">
        <x:f>IF(A281="","",G281*M281)</x:f>
      </x:c>
    </x:row>
    <x:row r="282">
      <x:c r="A282" s="42"/>
      <x:c r="B282" s="42"/>
      <x:c r="C282" s="42"/>
      <x:c r="D282" s="42"/>
      <x:c r="E282" s="42"/>
      <x:c r="F282" s="42"/>
      <x:c r="G282" s="70"/>
      <x:c r="H282" s="42"/>
      <x:c r="I282" s="42"/>
      <x:c r="J282" s="42"/>
      <x:c r="K282" s="72"/>
      <x:c r="L282" s="73" t="str">
        <x:f>IF(A282="","",IF(K282&gt;0,K282,IF(J282="Buy Order",SUMIFS('Market Data'!$F$5:$F$504,'Market Data'!$A$5:$A$504,I282,'Market Data'!$B$5:$B$504,E282,'Market Data'!$D$5:$D$504,1),SUMIFS('Market Data'!$E$5:$E$504,'Market Data'!$A$5:$A$504,I282,'Market Data'!$B$5:$B$504,E282,'Market Data'!$D$5:$D$504,1))))</x:f>
      </x:c>
      <x:c r="M282" s="73" t="str">
        <x:f>IF(A282="","",L282*(1+IF(J282="Buy Order",Settings!$B$16,0)))</x:f>
      </x:c>
      <x:c r="N282" s="73" t="str">
        <x:f>IF(A282="","",G282*M282)</x:f>
      </x:c>
    </x:row>
    <x:row r="283">
      <x:c r="A283" s="42"/>
      <x:c r="B283" s="42"/>
      <x:c r="C283" s="42"/>
      <x:c r="D283" s="42"/>
      <x:c r="E283" s="42"/>
      <x:c r="F283" s="42"/>
      <x:c r="G283" s="70"/>
      <x:c r="H283" s="42"/>
      <x:c r="I283" s="42"/>
      <x:c r="J283" s="42"/>
      <x:c r="K283" s="72"/>
      <x:c r="L283" s="73" t="str">
        <x:f>IF(A283="","",IF(K283&gt;0,K283,IF(J283="Buy Order",SUMIFS('Market Data'!$F$5:$F$504,'Market Data'!$A$5:$A$504,I283,'Market Data'!$B$5:$B$504,E283,'Market Data'!$D$5:$D$504,1),SUMIFS('Market Data'!$E$5:$E$504,'Market Data'!$A$5:$A$504,I283,'Market Data'!$B$5:$B$504,E283,'Market Data'!$D$5:$D$504,1))))</x:f>
      </x:c>
      <x:c r="M283" s="73" t="str">
        <x:f>IF(A283="","",L283*(1+IF(J283="Buy Order",Settings!$B$16,0)))</x:f>
      </x:c>
      <x:c r="N283" s="73" t="str">
        <x:f>IF(A283="","",G283*M283)</x:f>
      </x:c>
    </x:row>
    <x:row r="284">
      <x:c r="A284" s="42"/>
      <x:c r="B284" s="42"/>
      <x:c r="C284" s="42"/>
      <x:c r="D284" s="42"/>
      <x:c r="E284" s="42"/>
      <x:c r="F284" s="42"/>
      <x:c r="G284" s="70"/>
      <x:c r="H284" s="42"/>
      <x:c r="I284" s="42"/>
      <x:c r="J284" s="42"/>
      <x:c r="K284" s="72"/>
      <x:c r="L284" s="73" t="str">
        <x:f>IF(A284="","",IF(K284&gt;0,K284,IF(J284="Buy Order",SUMIFS('Market Data'!$F$5:$F$504,'Market Data'!$A$5:$A$504,I284,'Market Data'!$B$5:$B$504,E284,'Market Data'!$D$5:$D$504,1),SUMIFS('Market Data'!$E$5:$E$504,'Market Data'!$A$5:$A$504,I284,'Market Data'!$B$5:$B$504,E284,'Market Data'!$D$5:$D$504,1))))</x:f>
      </x:c>
      <x:c r="M284" s="73" t="str">
        <x:f>IF(A284="","",L284*(1+IF(J284="Buy Order",Settings!$B$16,0)))</x:f>
      </x:c>
      <x:c r="N284" s="73" t="str">
        <x:f>IF(A284="","",G284*M284)</x:f>
      </x:c>
    </x:row>
    <x:row r="285">
      <x:c r="A285" s="42"/>
      <x:c r="B285" s="42"/>
      <x:c r="C285" s="42"/>
      <x:c r="D285" s="42"/>
      <x:c r="E285" s="42"/>
      <x:c r="F285" s="42"/>
      <x:c r="G285" s="70"/>
      <x:c r="H285" s="42"/>
      <x:c r="I285" s="42"/>
      <x:c r="J285" s="42"/>
      <x:c r="K285" s="72"/>
      <x:c r="L285" s="73" t="str">
        <x:f>IF(A285="","",IF(K285&gt;0,K285,IF(J285="Buy Order",SUMIFS('Market Data'!$F$5:$F$504,'Market Data'!$A$5:$A$504,I285,'Market Data'!$B$5:$B$504,E285,'Market Data'!$D$5:$D$504,1),SUMIFS('Market Data'!$E$5:$E$504,'Market Data'!$A$5:$A$504,I285,'Market Data'!$B$5:$B$504,E285,'Market Data'!$D$5:$D$504,1))))</x:f>
      </x:c>
      <x:c r="M285" s="73" t="str">
        <x:f>IF(A285="","",L285*(1+IF(J285="Buy Order",Settings!$B$16,0)))</x:f>
      </x:c>
      <x:c r="N285" s="73" t="str">
        <x:f>IF(A285="","",G285*M285)</x:f>
      </x:c>
    </x:row>
    <x:row r="286">
      <x:c r="A286" s="42"/>
      <x:c r="B286" s="42"/>
      <x:c r="C286" s="42"/>
      <x:c r="D286" s="42"/>
      <x:c r="E286" s="42"/>
      <x:c r="F286" s="42"/>
      <x:c r="G286" s="70"/>
      <x:c r="H286" s="42"/>
      <x:c r="I286" s="42"/>
      <x:c r="J286" s="42"/>
      <x:c r="K286" s="72"/>
      <x:c r="L286" s="73" t="str">
        <x:f>IF(A286="","",IF(K286&gt;0,K286,IF(J286="Buy Order",SUMIFS('Market Data'!$F$5:$F$504,'Market Data'!$A$5:$A$504,I286,'Market Data'!$B$5:$B$504,E286,'Market Data'!$D$5:$D$504,1),SUMIFS('Market Data'!$E$5:$E$504,'Market Data'!$A$5:$A$504,I286,'Market Data'!$B$5:$B$504,E286,'Market Data'!$D$5:$D$504,1))))</x:f>
      </x:c>
      <x:c r="M286" s="73" t="str">
        <x:f>IF(A286="","",L286*(1+IF(J286="Buy Order",Settings!$B$16,0)))</x:f>
      </x:c>
      <x:c r="N286" s="73" t="str">
        <x:f>IF(A286="","",G286*M286)</x:f>
      </x:c>
    </x:row>
    <x:row r="287">
      <x:c r="A287" s="42"/>
      <x:c r="B287" s="42"/>
      <x:c r="C287" s="42"/>
      <x:c r="D287" s="42"/>
      <x:c r="E287" s="42"/>
      <x:c r="F287" s="42"/>
      <x:c r="G287" s="70"/>
      <x:c r="H287" s="42"/>
      <x:c r="I287" s="42"/>
      <x:c r="J287" s="42"/>
      <x:c r="K287" s="72"/>
      <x:c r="L287" s="73" t="str">
        <x:f>IF(A287="","",IF(K287&gt;0,K287,IF(J287="Buy Order",SUMIFS('Market Data'!$F$5:$F$504,'Market Data'!$A$5:$A$504,I287,'Market Data'!$B$5:$B$504,E287,'Market Data'!$D$5:$D$504,1),SUMIFS('Market Data'!$E$5:$E$504,'Market Data'!$A$5:$A$504,I287,'Market Data'!$B$5:$B$504,E287,'Market Data'!$D$5:$D$504,1))))</x:f>
      </x:c>
      <x:c r="M287" s="73" t="str">
        <x:f>IF(A287="","",L287*(1+IF(J287="Buy Order",Settings!$B$16,0)))</x:f>
      </x:c>
      <x:c r="N287" s="73" t="str">
        <x:f>IF(A287="","",G287*M287)</x:f>
      </x:c>
    </x:row>
    <x:row r="288">
      <x:c r="A288" s="42"/>
      <x:c r="B288" s="42"/>
      <x:c r="C288" s="42"/>
      <x:c r="D288" s="42"/>
      <x:c r="E288" s="42"/>
      <x:c r="F288" s="42"/>
      <x:c r="G288" s="70"/>
      <x:c r="H288" s="42"/>
      <x:c r="I288" s="42"/>
      <x:c r="J288" s="42"/>
      <x:c r="K288" s="72"/>
      <x:c r="L288" s="73" t="str">
        <x:f>IF(A288="","",IF(K288&gt;0,K288,IF(J288="Buy Order",SUMIFS('Market Data'!$F$5:$F$504,'Market Data'!$A$5:$A$504,I288,'Market Data'!$B$5:$B$504,E288,'Market Data'!$D$5:$D$504,1),SUMIFS('Market Data'!$E$5:$E$504,'Market Data'!$A$5:$A$504,I288,'Market Data'!$B$5:$B$504,E288,'Market Data'!$D$5:$D$504,1))))</x:f>
      </x:c>
      <x:c r="M288" s="73" t="str">
        <x:f>IF(A288="","",L288*(1+IF(J288="Buy Order",Settings!$B$16,0)))</x:f>
      </x:c>
      <x:c r="N288" s="73" t="str">
        <x:f>IF(A288="","",G288*M288)</x:f>
      </x:c>
    </x:row>
    <x:row r="289">
      <x:c r="A289" s="42"/>
      <x:c r="B289" s="42"/>
      <x:c r="C289" s="42"/>
      <x:c r="D289" s="42"/>
      <x:c r="E289" s="42"/>
      <x:c r="F289" s="42"/>
      <x:c r="G289" s="70"/>
      <x:c r="H289" s="42"/>
      <x:c r="I289" s="42"/>
      <x:c r="J289" s="42"/>
      <x:c r="K289" s="72"/>
      <x:c r="L289" s="73" t="str">
        <x:f>IF(A289="","",IF(K289&gt;0,K289,IF(J289="Buy Order",SUMIFS('Market Data'!$F$5:$F$504,'Market Data'!$A$5:$A$504,I289,'Market Data'!$B$5:$B$504,E289,'Market Data'!$D$5:$D$504,1),SUMIFS('Market Data'!$E$5:$E$504,'Market Data'!$A$5:$A$504,I289,'Market Data'!$B$5:$B$504,E289,'Market Data'!$D$5:$D$504,1))))</x:f>
      </x:c>
      <x:c r="M289" s="73" t="str">
        <x:f>IF(A289="","",L289*(1+IF(J289="Buy Order",Settings!$B$16,0)))</x:f>
      </x:c>
      <x:c r="N289" s="73" t="str">
        <x:f>IF(A289="","",G289*M289)</x:f>
      </x:c>
    </x:row>
    <x:row r="290">
      <x:c r="A290" s="42"/>
      <x:c r="B290" s="42"/>
      <x:c r="C290" s="42"/>
      <x:c r="D290" s="42"/>
      <x:c r="E290" s="42"/>
      <x:c r="F290" s="42"/>
      <x:c r="G290" s="70"/>
      <x:c r="H290" s="42"/>
      <x:c r="I290" s="42"/>
      <x:c r="J290" s="42"/>
      <x:c r="K290" s="72"/>
      <x:c r="L290" s="73" t="str">
        <x:f>IF(A290="","",IF(K290&gt;0,K290,IF(J290="Buy Order",SUMIFS('Market Data'!$F$5:$F$504,'Market Data'!$A$5:$A$504,I290,'Market Data'!$B$5:$B$504,E290,'Market Data'!$D$5:$D$504,1),SUMIFS('Market Data'!$E$5:$E$504,'Market Data'!$A$5:$A$504,I290,'Market Data'!$B$5:$B$504,E290,'Market Data'!$D$5:$D$504,1))))</x:f>
      </x:c>
      <x:c r="M290" s="73" t="str">
        <x:f>IF(A290="","",L290*(1+IF(J290="Buy Order",Settings!$B$16,0)))</x:f>
      </x:c>
      <x:c r="N290" s="73" t="str">
        <x:f>IF(A290="","",G290*M290)</x:f>
      </x:c>
    </x:row>
    <x:row r="291">
      <x:c r="A291" s="42"/>
      <x:c r="B291" s="42"/>
      <x:c r="C291" s="42"/>
      <x:c r="D291" s="42"/>
      <x:c r="E291" s="42"/>
      <x:c r="F291" s="42"/>
      <x:c r="G291" s="70"/>
      <x:c r="H291" s="42"/>
      <x:c r="I291" s="42"/>
      <x:c r="J291" s="42"/>
      <x:c r="K291" s="72"/>
      <x:c r="L291" s="73" t="str">
        <x:f>IF(A291="","",IF(K291&gt;0,K291,IF(J291="Buy Order",SUMIFS('Market Data'!$F$5:$F$504,'Market Data'!$A$5:$A$504,I291,'Market Data'!$B$5:$B$504,E291,'Market Data'!$D$5:$D$504,1),SUMIFS('Market Data'!$E$5:$E$504,'Market Data'!$A$5:$A$504,I291,'Market Data'!$B$5:$B$504,E291,'Market Data'!$D$5:$D$504,1))))</x:f>
      </x:c>
      <x:c r="M291" s="73" t="str">
        <x:f>IF(A291="","",L291*(1+IF(J291="Buy Order",Settings!$B$16,0)))</x:f>
      </x:c>
      <x:c r="N291" s="73" t="str">
        <x:f>IF(A291="","",G291*M291)</x:f>
      </x:c>
    </x:row>
    <x:row r="292">
      <x:c r="A292" s="42"/>
      <x:c r="B292" s="42"/>
      <x:c r="C292" s="42"/>
      <x:c r="D292" s="42"/>
      <x:c r="E292" s="42"/>
      <x:c r="F292" s="42"/>
      <x:c r="G292" s="70"/>
      <x:c r="H292" s="42"/>
      <x:c r="I292" s="42"/>
      <x:c r="J292" s="42"/>
      <x:c r="K292" s="72"/>
      <x:c r="L292" s="73" t="str">
        <x:f>IF(A292="","",IF(K292&gt;0,K292,IF(J292="Buy Order",SUMIFS('Market Data'!$F$5:$F$504,'Market Data'!$A$5:$A$504,I292,'Market Data'!$B$5:$B$504,E292,'Market Data'!$D$5:$D$504,1),SUMIFS('Market Data'!$E$5:$E$504,'Market Data'!$A$5:$A$504,I292,'Market Data'!$B$5:$B$504,E292,'Market Data'!$D$5:$D$504,1))))</x:f>
      </x:c>
      <x:c r="M292" s="73" t="str">
        <x:f>IF(A292="","",L292*(1+IF(J292="Buy Order",Settings!$B$16,0)))</x:f>
      </x:c>
      <x:c r="N292" s="73" t="str">
        <x:f>IF(A292="","",G292*M292)</x:f>
      </x:c>
    </x:row>
    <x:row r="293">
      <x:c r="A293" s="42"/>
      <x:c r="B293" s="42"/>
      <x:c r="C293" s="42"/>
      <x:c r="D293" s="42"/>
      <x:c r="E293" s="42"/>
      <x:c r="F293" s="42"/>
      <x:c r="G293" s="70"/>
      <x:c r="H293" s="42"/>
      <x:c r="I293" s="42"/>
      <x:c r="J293" s="42"/>
      <x:c r="K293" s="72"/>
      <x:c r="L293" s="73" t="str">
        <x:f>IF(A293="","",IF(K293&gt;0,K293,IF(J293="Buy Order",SUMIFS('Market Data'!$F$5:$F$504,'Market Data'!$A$5:$A$504,I293,'Market Data'!$B$5:$B$504,E293,'Market Data'!$D$5:$D$504,1),SUMIFS('Market Data'!$E$5:$E$504,'Market Data'!$A$5:$A$504,I293,'Market Data'!$B$5:$B$504,E293,'Market Data'!$D$5:$D$504,1))))</x:f>
      </x:c>
      <x:c r="M293" s="73" t="str">
        <x:f>IF(A293="","",L293*(1+IF(J293="Buy Order",Settings!$B$16,0)))</x:f>
      </x:c>
      <x:c r="N293" s="73" t="str">
        <x:f>IF(A293="","",G293*M293)</x:f>
      </x:c>
    </x:row>
    <x:row r="294">
      <x:c r="A294" s="42"/>
      <x:c r="B294" s="42"/>
      <x:c r="C294" s="42"/>
      <x:c r="D294" s="42"/>
      <x:c r="E294" s="42"/>
      <x:c r="F294" s="42"/>
      <x:c r="G294" s="70"/>
      <x:c r="H294" s="42"/>
      <x:c r="I294" s="42"/>
      <x:c r="J294" s="42"/>
      <x:c r="K294" s="72"/>
      <x:c r="L294" s="73" t="str">
        <x:f>IF(A294="","",IF(K294&gt;0,K294,IF(J294="Buy Order",SUMIFS('Market Data'!$F$5:$F$504,'Market Data'!$A$5:$A$504,I294,'Market Data'!$B$5:$B$504,E294,'Market Data'!$D$5:$D$504,1),SUMIFS('Market Data'!$E$5:$E$504,'Market Data'!$A$5:$A$504,I294,'Market Data'!$B$5:$B$504,E294,'Market Data'!$D$5:$D$504,1))))</x:f>
      </x:c>
      <x:c r="M294" s="73" t="str">
        <x:f>IF(A294="","",L294*(1+IF(J294="Buy Order",Settings!$B$16,0)))</x:f>
      </x:c>
      <x:c r="N294" s="73" t="str">
        <x:f>IF(A294="","",G294*M294)</x:f>
      </x:c>
    </x:row>
    <x:row r="295">
      <x:c r="A295" s="42"/>
      <x:c r="B295" s="42"/>
      <x:c r="C295" s="42"/>
      <x:c r="D295" s="42"/>
      <x:c r="E295" s="42"/>
      <x:c r="F295" s="42"/>
      <x:c r="G295" s="70"/>
      <x:c r="H295" s="42"/>
      <x:c r="I295" s="42"/>
      <x:c r="J295" s="42"/>
      <x:c r="K295" s="72"/>
      <x:c r="L295" s="73" t="str">
        <x:f>IF(A295="","",IF(K295&gt;0,K295,IF(J295="Buy Order",SUMIFS('Market Data'!$F$5:$F$504,'Market Data'!$A$5:$A$504,I295,'Market Data'!$B$5:$B$504,E295,'Market Data'!$D$5:$D$504,1),SUMIFS('Market Data'!$E$5:$E$504,'Market Data'!$A$5:$A$504,I295,'Market Data'!$B$5:$B$504,E295,'Market Data'!$D$5:$D$504,1))))</x:f>
      </x:c>
      <x:c r="M295" s="73" t="str">
        <x:f>IF(A295="","",L295*(1+IF(J295="Buy Order",Settings!$B$16,0)))</x:f>
      </x:c>
      <x:c r="N295" s="73" t="str">
        <x:f>IF(A295="","",G295*M295)</x:f>
      </x:c>
    </x:row>
    <x:row r="296">
      <x:c r="A296" s="42"/>
      <x:c r="B296" s="42"/>
      <x:c r="C296" s="42"/>
      <x:c r="D296" s="42"/>
      <x:c r="E296" s="42"/>
      <x:c r="F296" s="42"/>
      <x:c r="G296" s="70"/>
      <x:c r="H296" s="42"/>
      <x:c r="I296" s="42"/>
      <x:c r="J296" s="42"/>
      <x:c r="K296" s="72"/>
      <x:c r="L296" s="73" t="str">
        <x:f>IF(A296="","",IF(K296&gt;0,K296,IF(J296="Buy Order",SUMIFS('Market Data'!$F$5:$F$504,'Market Data'!$A$5:$A$504,I296,'Market Data'!$B$5:$B$504,E296,'Market Data'!$D$5:$D$504,1),SUMIFS('Market Data'!$E$5:$E$504,'Market Data'!$A$5:$A$504,I296,'Market Data'!$B$5:$B$504,E296,'Market Data'!$D$5:$D$504,1))))</x:f>
      </x:c>
      <x:c r="M296" s="73" t="str">
        <x:f>IF(A296="","",L296*(1+IF(J296="Buy Order",Settings!$B$16,0)))</x:f>
      </x:c>
      <x:c r="N296" s="73" t="str">
        <x:f>IF(A296="","",G296*M296)</x:f>
      </x:c>
    </x:row>
    <x:row r="297">
      <x:c r="A297" s="42"/>
      <x:c r="B297" s="42"/>
      <x:c r="C297" s="42"/>
      <x:c r="D297" s="42"/>
      <x:c r="E297" s="42"/>
      <x:c r="F297" s="42"/>
      <x:c r="G297" s="70"/>
      <x:c r="H297" s="42"/>
      <x:c r="I297" s="42"/>
      <x:c r="J297" s="42"/>
      <x:c r="K297" s="72"/>
      <x:c r="L297" s="73" t="str">
        <x:f>IF(A297="","",IF(K297&gt;0,K297,IF(J297="Buy Order",SUMIFS('Market Data'!$F$5:$F$504,'Market Data'!$A$5:$A$504,I297,'Market Data'!$B$5:$B$504,E297,'Market Data'!$D$5:$D$504,1),SUMIFS('Market Data'!$E$5:$E$504,'Market Data'!$A$5:$A$504,I297,'Market Data'!$B$5:$B$504,E297,'Market Data'!$D$5:$D$504,1))))</x:f>
      </x:c>
      <x:c r="M297" s="73" t="str">
        <x:f>IF(A297="","",L297*(1+IF(J297="Buy Order",Settings!$B$16,0)))</x:f>
      </x:c>
      <x:c r="N297" s="73" t="str">
        <x:f>IF(A297="","",G297*M297)</x:f>
      </x:c>
    </x:row>
    <x:row r="298">
      <x:c r="A298" s="42"/>
      <x:c r="B298" s="42"/>
      <x:c r="C298" s="42"/>
      <x:c r="D298" s="42"/>
      <x:c r="E298" s="42"/>
      <x:c r="F298" s="42"/>
      <x:c r="G298" s="70"/>
      <x:c r="H298" s="42"/>
      <x:c r="I298" s="42"/>
      <x:c r="J298" s="42"/>
      <x:c r="K298" s="72"/>
      <x:c r="L298" s="73" t="str">
        <x:f>IF(A298="","",IF(K298&gt;0,K298,IF(J298="Buy Order",SUMIFS('Market Data'!$F$5:$F$504,'Market Data'!$A$5:$A$504,I298,'Market Data'!$B$5:$B$504,E298,'Market Data'!$D$5:$D$504,1),SUMIFS('Market Data'!$E$5:$E$504,'Market Data'!$A$5:$A$504,I298,'Market Data'!$B$5:$B$504,E298,'Market Data'!$D$5:$D$504,1))))</x:f>
      </x:c>
      <x:c r="M298" s="73" t="str">
        <x:f>IF(A298="","",L298*(1+IF(J298="Buy Order",Settings!$B$16,0)))</x:f>
      </x:c>
      <x:c r="N298" s="73" t="str">
        <x:f>IF(A298="","",G298*M298)</x:f>
      </x:c>
    </x:row>
    <x:row r="299">
      <x:c r="A299" s="42"/>
      <x:c r="B299" s="42"/>
      <x:c r="C299" s="42"/>
      <x:c r="D299" s="42"/>
      <x:c r="E299" s="42"/>
      <x:c r="F299" s="42"/>
      <x:c r="G299" s="70"/>
      <x:c r="H299" s="42"/>
      <x:c r="I299" s="42"/>
      <x:c r="J299" s="42"/>
      <x:c r="K299" s="72"/>
      <x:c r="L299" s="73" t="str">
        <x:f>IF(A299="","",IF(K299&gt;0,K299,IF(J299="Buy Order",SUMIFS('Market Data'!$F$5:$F$504,'Market Data'!$A$5:$A$504,I299,'Market Data'!$B$5:$B$504,E299,'Market Data'!$D$5:$D$504,1),SUMIFS('Market Data'!$E$5:$E$504,'Market Data'!$A$5:$A$504,I299,'Market Data'!$B$5:$B$504,E299,'Market Data'!$D$5:$D$504,1))))</x:f>
      </x:c>
      <x:c r="M299" s="73" t="str">
        <x:f>IF(A299="","",L299*(1+IF(J299="Buy Order",Settings!$B$16,0)))</x:f>
      </x:c>
      <x:c r="N299" s="73" t="str">
        <x:f>IF(A299="","",G299*M299)</x:f>
      </x:c>
    </x:row>
    <x:row r="300">
      <x:c r="A300" s="42"/>
      <x:c r="B300" s="42"/>
      <x:c r="C300" s="42"/>
      <x:c r="D300" s="42"/>
      <x:c r="E300" s="42"/>
      <x:c r="F300" s="42"/>
      <x:c r="G300" s="70"/>
      <x:c r="H300" s="42"/>
      <x:c r="I300" s="42"/>
      <x:c r="J300" s="42"/>
      <x:c r="K300" s="72"/>
      <x:c r="L300" s="73" t="str">
        <x:f>IF(A300="","",IF(K300&gt;0,K300,IF(J300="Buy Order",SUMIFS('Market Data'!$F$5:$F$504,'Market Data'!$A$5:$A$504,I300,'Market Data'!$B$5:$B$504,E300,'Market Data'!$D$5:$D$504,1),SUMIFS('Market Data'!$E$5:$E$504,'Market Data'!$A$5:$A$504,I300,'Market Data'!$B$5:$B$504,E300,'Market Data'!$D$5:$D$504,1))))</x:f>
      </x:c>
      <x:c r="M300" s="73" t="str">
        <x:f>IF(A300="","",L300*(1+IF(J300="Buy Order",Settings!$B$16,0)))</x:f>
      </x:c>
      <x:c r="N300" s="73" t="str">
        <x:f>IF(A300="","",G300*M300)</x:f>
      </x:c>
    </x:row>
    <x:row r="301">
      <x:c r="A301" s="42"/>
      <x:c r="B301" s="42"/>
      <x:c r="C301" s="42"/>
      <x:c r="D301" s="42"/>
      <x:c r="E301" s="42"/>
      <x:c r="F301" s="42"/>
      <x:c r="G301" s="70"/>
      <x:c r="H301" s="42"/>
      <x:c r="I301" s="42"/>
      <x:c r="J301" s="42"/>
      <x:c r="K301" s="72"/>
      <x:c r="L301" s="73" t="str">
        <x:f>IF(A301="","",IF(K301&gt;0,K301,IF(J301="Buy Order",SUMIFS('Market Data'!$F$5:$F$504,'Market Data'!$A$5:$A$504,I301,'Market Data'!$B$5:$B$504,E301,'Market Data'!$D$5:$D$504,1),SUMIFS('Market Data'!$E$5:$E$504,'Market Data'!$A$5:$A$504,I301,'Market Data'!$B$5:$B$504,E301,'Market Data'!$D$5:$D$504,1))))</x:f>
      </x:c>
      <x:c r="M301" s="73" t="str">
        <x:f>IF(A301="","",L301*(1+IF(J301="Buy Order",Settings!$B$16,0)))</x:f>
      </x:c>
      <x:c r="N301" s="73" t="str">
        <x:f>IF(A301="","",G301*M301)</x:f>
      </x:c>
    </x:row>
    <x:row r="302">
      <x:c r="A302" s="42"/>
      <x:c r="B302" s="42"/>
      <x:c r="C302" s="42"/>
      <x:c r="D302" s="42"/>
      <x:c r="E302" s="42"/>
      <x:c r="F302" s="42"/>
      <x:c r="G302" s="70"/>
      <x:c r="H302" s="42"/>
      <x:c r="I302" s="42"/>
      <x:c r="J302" s="42"/>
      <x:c r="K302" s="72"/>
      <x:c r="L302" s="73" t="str">
        <x:f>IF(A302="","",IF(K302&gt;0,K302,IF(J302="Buy Order",SUMIFS('Market Data'!$F$5:$F$504,'Market Data'!$A$5:$A$504,I302,'Market Data'!$B$5:$B$504,E302,'Market Data'!$D$5:$D$504,1),SUMIFS('Market Data'!$E$5:$E$504,'Market Data'!$A$5:$A$504,I302,'Market Data'!$B$5:$B$504,E302,'Market Data'!$D$5:$D$504,1))))</x:f>
      </x:c>
      <x:c r="M302" s="73" t="str">
        <x:f>IF(A302="","",L302*(1+IF(J302="Buy Order",Settings!$B$16,0)))</x:f>
      </x:c>
      <x:c r="N302" s="73" t="str">
        <x:f>IF(A302="","",G302*M302)</x:f>
      </x:c>
    </x:row>
    <x:row r="303">
      <x:c r="A303" s="42"/>
      <x:c r="B303" s="42"/>
      <x:c r="C303" s="42"/>
      <x:c r="D303" s="42"/>
      <x:c r="E303" s="42"/>
      <x:c r="F303" s="42"/>
      <x:c r="G303" s="70"/>
      <x:c r="H303" s="42"/>
      <x:c r="I303" s="42"/>
      <x:c r="J303" s="42"/>
      <x:c r="K303" s="72"/>
      <x:c r="L303" s="73" t="str">
        <x:f>IF(A303="","",IF(K303&gt;0,K303,IF(J303="Buy Order",SUMIFS('Market Data'!$F$5:$F$504,'Market Data'!$A$5:$A$504,I303,'Market Data'!$B$5:$B$504,E303,'Market Data'!$D$5:$D$504,1),SUMIFS('Market Data'!$E$5:$E$504,'Market Data'!$A$5:$A$504,I303,'Market Data'!$B$5:$B$504,E303,'Market Data'!$D$5:$D$504,1))))</x:f>
      </x:c>
      <x:c r="M303" s="73" t="str">
        <x:f>IF(A303="","",L303*(1+IF(J303="Buy Order",Settings!$B$16,0)))</x:f>
      </x:c>
      <x:c r="N303" s="73" t="str">
        <x:f>IF(A303="","",G303*M303)</x:f>
      </x:c>
    </x:row>
    <x:row r="304">
      <x:c r="A304" s="42"/>
      <x:c r="B304" s="42"/>
      <x:c r="C304" s="42"/>
      <x:c r="D304" s="42"/>
      <x:c r="E304" s="42"/>
      <x:c r="F304" s="42"/>
      <x:c r="G304" s="70"/>
      <x:c r="H304" s="42"/>
      <x:c r="I304" s="42"/>
      <x:c r="J304" s="42"/>
      <x:c r="K304" s="72"/>
      <x:c r="L304" s="73" t="str">
        <x:f>IF(A304="","",IF(K304&gt;0,K304,IF(J304="Buy Order",SUMIFS('Market Data'!$F$5:$F$504,'Market Data'!$A$5:$A$504,I304,'Market Data'!$B$5:$B$504,E304,'Market Data'!$D$5:$D$504,1),SUMIFS('Market Data'!$E$5:$E$504,'Market Data'!$A$5:$A$504,I304,'Market Data'!$B$5:$B$504,E304,'Market Data'!$D$5:$D$504,1))))</x:f>
      </x:c>
      <x:c r="M304" s="73" t="str">
        <x:f>IF(A304="","",L304*(1+IF(J304="Buy Order",Settings!$B$16,0)))</x:f>
      </x:c>
      <x:c r="N304" s="73" t="str">
        <x:f>IF(A304="","",G304*M304)</x:f>
      </x:c>
    </x:row>
    <x:row r="305">
      <x:c r="A305" s="42"/>
      <x:c r="B305" s="42"/>
      <x:c r="C305" s="42"/>
      <x:c r="D305" s="42"/>
      <x:c r="E305" s="42"/>
      <x:c r="F305" s="42"/>
      <x:c r="G305" s="70"/>
      <x:c r="H305" s="42"/>
      <x:c r="I305" s="42"/>
      <x:c r="J305" s="42"/>
      <x:c r="K305" s="72"/>
      <x:c r="L305" s="73" t="str">
        <x:f>IF(A305="","",IF(K305&gt;0,K305,IF(J305="Buy Order",SUMIFS('Market Data'!$F$5:$F$504,'Market Data'!$A$5:$A$504,I305,'Market Data'!$B$5:$B$504,E305,'Market Data'!$D$5:$D$504,1),SUMIFS('Market Data'!$E$5:$E$504,'Market Data'!$A$5:$A$504,I305,'Market Data'!$B$5:$B$504,E305,'Market Data'!$D$5:$D$504,1))))</x:f>
      </x:c>
      <x:c r="M305" s="73" t="str">
        <x:f>IF(A305="","",L305*(1+IF(J305="Buy Order",Settings!$B$16,0)))</x:f>
      </x:c>
      <x:c r="N305" s="73" t="str">
        <x:f>IF(A305="","",G305*M305)</x:f>
      </x:c>
    </x:row>
    <x:row r="306">
      <x:c r="A306" s="42"/>
      <x:c r="B306" s="42"/>
      <x:c r="C306" s="42"/>
      <x:c r="D306" s="42"/>
      <x:c r="E306" s="42"/>
      <x:c r="F306" s="42"/>
      <x:c r="G306" s="70"/>
      <x:c r="H306" s="42"/>
      <x:c r="I306" s="42"/>
      <x:c r="J306" s="42"/>
      <x:c r="K306" s="72"/>
      <x:c r="L306" s="73" t="str">
        <x:f>IF(A306="","",IF(K306&gt;0,K306,IF(J306="Buy Order",SUMIFS('Market Data'!$F$5:$F$504,'Market Data'!$A$5:$A$504,I306,'Market Data'!$B$5:$B$504,E306,'Market Data'!$D$5:$D$504,1),SUMIFS('Market Data'!$E$5:$E$504,'Market Data'!$A$5:$A$504,I306,'Market Data'!$B$5:$B$504,E306,'Market Data'!$D$5:$D$504,1))))</x:f>
      </x:c>
      <x:c r="M306" s="73" t="str">
        <x:f>IF(A306="","",L306*(1+IF(J306="Buy Order",Settings!$B$16,0)))</x:f>
      </x:c>
      <x:c r="N306" s="73" t="str">
        <x:f>IF(A306="","",G306*M306)</x:f>
      </x:c>
    </x:row>
    <x:row r="307">
      <x:c r="A307" s="42"/>
      <x:c r="B307" s="42"/>
      <x:c r="C307" s="42"/>
      <x:c r="D307" s="42"/>
      <x:c r="E307" s="42"/>
      <x:c r="F307" s="42"/>
      <x:c r="G307" s="70"/>
      <x:c r="H307" s="42"/>
      <x:c r="I307" s="42"/>
      <x:c r="J307" s="42"/>
      <x:c r="K307" s="72"/>
      <x:c r="L307" s="73" t="str">
        <x:f>IF(A307="","",IF(K307&gt;0,K307,IF(J307="Buy Order",SUMIFS('Market Data'!$F$5:$F$504,'Market Data'!$A$5:$A$504,I307,'Market Data'!$B$5:$B$504,E307,'Market Data'!$D$5:$D$504,1),SUMIFS('Market Data'!$E$5:$E$504,'Market Data'!$A$5:$A$504,I307,'Market Data'!$B$5:$B$504,E307,'Market Data'!$D$5:$D$504,1))))</x:f>
      </x:c>
      <x:c r="M307" s="73" t="str">
        <x:f>IF(A307="","",L307*(1+IF(J307="Buy Order",Settings!$B$16,0)))</x:f>
      </x:c>
      <x:c r="N307" s="73" t="str">
        <x:f>IF(A307="","",G307*M307)</x:f>
      </x:c>
    </x:row>
    <x:row r="308">
      <x:c r="A308" s="42"/>
      <x:c r="B308" s="42"/>
      <x:c r="C308" s="42"/>
      <x:c r="D308" s="42"/>
      <x:c r="E308" s="42"/>
      <x:c r="F308" s="42"/>
      <x:c r="G308" s="70"/>
      <x:c r="H308" s="42"/>
      <x:c r="I308" s="42"/>
      <x:c r="J308" s="42"/>
      <x:c r="K308" s="72"/>
      <x:c r="L308" s="73" t="str">
        <x:f>IF(A308="","",IF(K308&gt;0,K308,IF(J308="Buy Order",SUMIFS('Market Data'!$F$5:$F$504,'Market Data'!$A$5:$A$504,I308,'Market Data'!$B$5:$B$504,E308,'Market Data'!$D$5:$D$504,1),SUMIFS('Market Data'!$E$5:$E$504,'Market Data'!$A$5:$A$504,I308,'Market Data'!$B$5:$B$504,E308,'Market Data'!$D$5:$D$504,1))))</x:f>
      </x:c>
      <x:c r="M308" s="73" t="str">
        <x:f>IF(A308="","",L308*(1+IF(J308="Buy Order",Settings!$B$16,0)))</x:f>
      </x:c>
      <x:c r="N308" s="73" t="str">
        <x:f>IF(A308="","",G308*M308)</x:f>
      </x:c>
    </x:row>
    <x:row r="309">
      <x:c r="A309" s="42"/>
      <x:c r="B309" s="42"/>
      <x:c r="C309" s="42"/>
      <x:c r="D309" s="42"/>
      <x:c r="E309" s="42"/>
      <x:c r="F309" s="42"/>
      <x:c r="G309" s="70"/>
      <x:c r="H309" s="42"/>
      <x:c r="I309" s="42"/>
      <x:c r="J309" s="42"/>
      <x:c r="K309" s="72"/>
      <x:c r="L309" s="73" t="str">
        <x:f>IF(A309="","",IF(K309&gt;0,K309,IF(J309="Buy Order",SUMIFS('Market Data'!$F$5:$F$504,'Market Data'!$A$5:$A$504,I309,'Market Data'!$B$5:$B$504,E309,'Market Data'!$D$5:$D$504,1),SUMIFS('Market Data'!$E$5:$E$504,'Market Data'!$A$5:$A$504,I309,'Market Data'!$B$5:$B$504,E309,'Market Data'!$D$5:$D$504,1))))</x:f>
      </x:c>
      <x:c r="M309" s="73" t="str">
        <x:f>IF(A309="","",L309*(1+IF(J309="Buy Order",Settings!$B$16,0)))</x:f>
      </x:c>
      <x:c r="N309" s="73" t="str">
        <x:f>IF(A309="","",G309*M309)</x:f>
      </x:c>
    </x:row>
    <x:row r="310">
      <x:c r="A310" s="42"/>
      <x:c r="B310" s="42"/>
      <x:c r="C310" s="42"/>
      <x:c r="D310" s="42"/>
      <x:c r="E310" s="42"/>
      <x:c r="F310" s="42"/>
      <x:c r="G310" s="70"/>
      <x:c r="H310" s="42"/>
      <x:c r="I310" s="42"/>
      <x:c r="J310" s="42"/>
      <x:c r="K310" s="72"/>
      <x:c r="L310" s="73" t="str">
        <x:f>IF(A310="","",IF(K310&gt;0,K310,IF(J310="Buy Order",SUMIFS('Market Data'!$F$5:$F$504,'Market Data'!$A$5:$A$504,I310,'Market Data'!$B$5:$B$504,E310,'Market Data'!$D$5:$D$504,1),SUMIFS('Market Data'!$E$5:$E$504,'Market Data'!$A$5:$A$504,I310,'Market Data'!$B$5:$B$504,E310,'Market Data'!$D$5:$D$504,1))))</x:f>
      </x:c>
      <x:c r="M310" s="73" t="str">
        <x:f>IF(A310="","",L310*(1+IF(J310="Buy Order",Settings!$B$16,0)))</x:f>
      </x:c>
      <x:c r="N310" s="73" t="str">
        <x:f>IF(A310="","",G310*M310)</x:f>
      </x:c>
    </x:row>
    <x:row r="311">
      <x:c r="A311" s="42"/>
      <x:c r="B311" s="42"/>
      <x:c r="C311" s="42"/>
      <x:c r="D311" s="42"/>
      <x:c r="E311" s="42"/>
      <x:c r="F311" s="42"/>
      <x:c r="G311" s="70"/>
      <x:c r="H311" s="42"/>
      <x:c r="I311" s="42"/>
      <x:c r="J311" s="42"/>
      <x:c r="K311" s="72"/>
      <x:c r="L311" s="73" t="str">
        <x:f>IF(A311="","",IF(K311&gt;0,K311,IF(J311="Buy Order",SUMIFS('Market Data'!$F$5:$F$504,'Market Data'!$A$5:$A$504,I311,'Market Data'!$B$5:$B$504,E311,'Market Data'!$D$5:$D$504,1),SUMIFS('Market Data'!$E$5:$E$504,'Market Data'!$A$5:$A$504,I311,'Market Data'!$B$5:$B$504,E311,'Market Data'!$D$5:$D$504,1))))</x:f>
      </x:c>
      <x:c r="M311" s="73" t="str">
        <x:f>IF(A311="","",L311*(1+IF(J311="Buy Order",Settings!$B$16,0)))</x:f>
      </x:c>
      <x:c r="N311" s="73" t="str">
        <x:f>IF(A311="","",G311*M311)</x:f>
      </x:c>
    </x:row>
    <x:row r="312">
      <x:c r="A312" s="42"/>
      <x:c r="B312" s="42"/>
      <x:c r="C312" s="42"/>
      <x:c r="D312" s="42"/>
      <x:c r="E312" s="42"/>
      <x:c r="F312" s="42"/>
      <x:c r="G312" s="70"/>
      <x:c r="H312" s="42"/>
      <x:c r="I312" s="42"/>
      <x:c r="J312" s="42"/>
      <x:c r="K312" s="72"/>
      <x:c r="L312" s="73" t="str">
        <x:f>IF(A312="","",IF(K312&gt;0,K312,IF(J312="Buy Order",SUMIFS('Market Data'!$F$5:$F$504,'Market Data'!$A$5:$A$504,I312,'Market Data'!$B$5:$B$504,E312,'Market Data'!$D$5:$D$504,1),SUMIFS('Market Data'!$E$5:$E$504,'Market Data'!$A$5:$A$504,I312,'Market Data'!$B$5:$B$504,E312,'Market Data'!$D$5:$D$504,1))))</x:f>
      </x:c>
      <x:c r="M312" s="73" t="str">
        <x:f>IF(A312="","",L312*(1+IF(J312="Buy Order",Settings!$B$16,0)))</x:f>
      </x:c>
      <x:c r="N312" s="73" t="str">
        <x:f>IF(A312="","",G312*M312)</x:f>
      </x:c>
    </x:row>
    <x:row r="313">
      <x:c r="A313" s="42"/>
      <x:c r="B313" s="42"/>
      <x:c r="C313" s="42"/>
      <x:c r="D313" s="42"/>
      <x:c r="E313" s="42"/>
      <x:c r="F313" s="42"/>
      <x:c r="G313" s="70"/>
      <x:c r="H313" s="42"/>
      <x:c r="I313" s="42"/>
      <x:c r="J313" s="42"/>
      <x:c r="K313" s="72"/>
      <x:c r="L313" s="73" t="str">
        <x:f>IF(A313="","",IF(K313&gt;0,K313,IF(J313="Buy Order",SUMIFS('Market Data'!$F$5:$F$504,'Market Data'!$A$5:$A$504,I313,'Market Data'!$B$5:$B$504,E313,'Market Data'!$D$5:$D$504,1),SUMIFS('Market Data'!$E$5:$E$504,'Market Data'!$A$5:$A$504,I313,'Market Data'!$B$5:$B$504,E313,'Market Data'!$D$5:$D$504,1))))</x:f>
      </x:c>
      <x:c r="M313" s="73" t="str">
        <x:f>IF(A313="","",L313*(1+IF(J313="Buy Order",Settings!$B$16,0)))</x:f>
      </x:c>
      <x:c r="N313" s="73" t="str">
        <x:f>IF(A313="","",G313*M313)</x:f>
      </x:c>
    </x:row>
    <x:row r="314">
      <x:c r="A314" s="42"/>
      <x:c r="B314" s="42"/>
      <x:c r="C314" s="42"/>
      <x:c r="D314" s="42"/>
      <x:c r="E314" s="42"/>
      <x:c r="F314" s="42"/>
      <x:c r="G314" s="70"/>
      <x:c r="H314" s="42"/>
      <x:c r="I314" s="42"/>
      <x:c r="J314" s="42"/>
      <x:c r="K314" s="72"/>
      <x:c r="L314" s="73" t="str">
        <x:f>IF(A314="","",IF(K314&gt;0,K314,IF(J314="Buy Order",SUMIFS('Market Data'!$F$5:$F$504,'Market Data'!$A$5:$A$504,I314,'Market Data'!$B$5:$B$504,E314,'Market Data'!$D$5:$D$504,1),SUMIFS('Market Data'!$E$5:$E$504,'Market Data'!$A$5:$A$504,I314,'Market Data'!$B$5:$B$504,E314,'Market Data'!$D$5:$D$504,1))))</x:f>
      </x:c>
      <x:c r="M314" s="73" t="str">
        <x:f>IF(A314="","",L314*(1+IF(J314="Buy Order",Settings!$B$16,0)))</x:f>
      </x:c>
      <x:c r="N314" s="73" t="str">
        <x:f>IF(A314="","",G314*M314)</x:f>
      </x:c>
    </x:row>
    <x:row r="315">
      <x:c r="A315" s="42"/>
      <x:c r="B315" s="42"/>
      <x:c r="C315" s="42"/>
      <x:c r="D315" s="42"/>
      <x:c r="E315" s="42"/>
      <x:c r="F315" s="42"/>
      <x:c r="G315" s="70"/>
      <x:c r="H315" s="42"/>
      <x:c r="I315" s="42"/>
      <x:c r="J315" s="42"/>
      <x:c r="K315" s="72"/>
      <x:c r="L315" s="73" t="str">
        <x:f>IF(A315="","",IF(K315&gt;0,K315,IF(J315="Buy Order",SUMIFS('Market Data'!$F$5:$F$504,'Market Data'!$A$5:$A$504,I315,'Market Data'!$B$5:$B$504,E315,'Market Data'!$D$5:$D$504,1),SUMIFS('Market Data'!$E$5:$E$504,'Market Data'!$A$5:$A$504,I315,'Market Data'!$B$5:$B$504,E315,'Market Data'!$D$5:$D$504,1))))</x:f>
      </x:c>
      <x:c r="M315" s="73" t="str">
        <x:f>IF(A315="","",L315*(1+IF(J315="Buy Order",Settings!$B$16,0)))</x:f>
      </x:c>
      <x:c r="N315" s="73" t="str">
        <x:f>IF(A315="","",G315*M315)</x:f>
      </x:c>
    </x:row>
    <x:row r="316">
      <x:c r="A316" s="42"/>
      <x:c r="B316" s="42"/>
      <x:c r="C316" s="42"/>
      <x:c r="D316" s="42"/>
      <x:c r="E316" s="42"/>
      <x:c r="F316" s="42"/>
      <x:c r="G316" s="70"/>
      <x:c r="H316" s="42"/>
      <x:c r="I316" s="42"/>
      <x:c r="J316" s="42"/>
      <x:c r="K316" s="72"/>
      <x:c r="L316" s="73" t="str">
        <x:f>IF(A316="","",IF(K316&gt;0,K316,IF(J316="Buy Order",SUMIFS('Market Data'!$F$5:$F$504,'Market Data'!$A$5:$A$504,I316,'Market Data'!$B$5:$B$504,E316,'Market Data'!$D$5:$D$504,1),SUMIFS('Market Data'!$E$5:$E$504,'Market Data'!$A$5:$A$504,I316,'Market Data'!$B$5:$B$504,E316,'Market Data'!$D$5:$D$504,1))))</x:f>
      </x:c>
      <x:c r="M316" s="73" t="str">
        <x:f>IF(A316="","",L316*(1+IF(J316="Buy Order",Settings!$B$16,0)))</x:f>
      </x:c>
      <x:c r="N316" s="73" t="str">
        <x:f>IF(A316="","",G316*M316)</x:f>
      </x:c>
    </x:row>
    <x:row r="317">
      <x:c r="A317" s="42"/>
      <x:c r="B317" s="42"/>
      <x:c r="C317" s="42"/>
      <x:c r="D317" s="42"/>
      <x:c r="E317" s="42"/>
      <x:c r="F317" s="42"/>
      <x:c r="G317" s="70"/>
      <x:c r="H317" s="42"/>
      <x:c r="I317" s="42"/>
      <x:c r="J317" s="42"/>
      <x:c r="K317" s="72"/>
      <x:c r="L317" s="73" t="str">
        <x:f>IF(A317="","",IF(K317&gt;0,K317,IF(J317="Buy Order",SUMIFS('Market Data'!$F$5:$F$504,'Market Data'!$A$5:$A$504,I317,'Market Data'!$B$5:$B$504,E317,'Market Data'!$D$5:$D$504,1),SUMIFS('Market Data'!$E$5:$E$504,'Market Data'!$A$5:$A$504,I317,'Market Data'!$B$5:$B$504,E317,'Market Data'!$D$5:$D$504,1))))</x:f>
      </x:c>
      <x:c r="M317" s="73" t="str">
        <x:f>IF(A317="","",L317*(1+IF(J317="Buy Order",Settings!$B$16,0)))</x:f>
      </x:c>
      <x:c r="N317" s="73" t="str">
        <x:f>IF(A317="","",G317*M317)</x:f>
      </x:c>
    </x:row>
    <x:row r="318">
      <x:c r="A318" s="42"/>
      <x:c r="B318" s="42"/>
      <x:c r="C318" s="42"/>
      <x:c r="D318" s="42"/>
      <x:c r="E318" s="42"/>
      <x:c r="F318" s="42"/>
      <x:c r="G318" s="70"/>
      <x:c r="H318" s="42"/>
      <x:c r="I318" s="42"/>
      <x:c r="J318" s="42"/>
      <x:c r="K318" s="72"/>
      <x:c r="L318" s="73" t="str">
        <x:f>IF(A318="","",IF(K318&gt;0,K318,IF(J318="Buy Order",SUMIFS('Market Data'!$F$5:$F$504,'Market Data'!$A$5:$A$504,I318,'Market Data'!$B$5:$B$504,E318,'Market Data'!$D$5:$D$504,1),SUMIFS('Market Data'!$E$5:$E$504,'Market Data'!$A$5:$A$504,I318,'Market Data'!$B$5:$B$504,E318,'Market Data'!$D$5:$D$504,1))))</x:f>
      </x:c>
      <x:c r="M318" s="73" t="str">
        <x:f>IF(A318="","",L318*(1+IF(J318="Buy Order",Settings!$B$16,0)))</x:f>
      </x:c>
      <x:c r="N318" s="73" t="str">
        <x:f>IF(A318="","",G318*M318)</x:f>
      </x:c>
    </x:row>
    <x:row r="319">
      <x:c r="A319" s="42"/>
      <x:c r="B319" s="42"/>
      <x:c r="C319" s="42"/>
      <x:c r="D319" s="42"/>
      <x:c r="E319" s="42"/>
      <x:c r="F319" s="42"/>
      <x:c r="G319" s="70"/>
      <x:c r="H319" s="42"/>
      <x:c r="I319" s="42"/>
      <x:c r="J319" s="42"/>
      <x:c r="K319" s="72"/>
      <x:c r="L319" s="73" t="str">
        <x:f>IF(A319="","",IF(K319&gt;0,K319,IF(J319="Buy Order",SUMIFS('Market Data'!$F$5:$F$504,'Market Data'!$A$5:$A$504,I319,'Market Data'!$B$5:$B$504,E319,'Market Data'!$D$5:$D$504,1),SUMIFS('Market Data'!$E$5:$E$504,'Market Data'!$A$5:$A$504,I319,'Market Data'!$B$5:$B$504,E319,'Market Data'!$D$5:$D$504,1))))</x:f>
      </x:c>
      <x:c r="M319" s="73" t="str">
        <x:f>IF(A319="","",L319*(1+IF(J319="Buy Order",Settings!$B$16,0)))</x:f>
      </x:c>
      <x:c r="N319" s="73" t="str">
        <x:f>IF(A319="","",G319*M319)</x:f>
      </x:c>
    </x:row>
    <x:row r="320">
      <x:c r="A320" s="42"/>
      <x:c r="B320" s="42"/>
      <x:c r="C320" s="42"/>
      <x:c r="D320" s="42"/>
      <x:c r="E320" s="42"/>
      <x:c r="F320" s="42"/>
      <x:c r="G320" s="70"/>
      <x:c r="H320" s="42"/>
      <x:c r="I320" s="42"/>
      <x:c r="J320" s="42"/>
      <x:c r="K320" s="72"/>
      <x:c r="L320" s="73" t="str">
        <x:f>IF(A320="","",IF(K320&gt;0,K320,IF(J320="Buy Order",SUMIFS('Market Data'!$F$5:$F$504,'Market Data'!$A$5:$A$504,I320,'Market Data'!$B$5:$B$504,E320,'Market Data'!$D$5:$D$504,1),SUMIFS('Market Data'!$E$5:$E$504,'Market Data'!$A$5:$A$504,I320,'Market Data'!$B$5:$B$504,E320,'Market Data'!$D$5:$D$504,1))))</x:f>
      </x:c>
      <x:c r="M320" s="73" t="str">
        <x:f>IF(A320="","",L320*(1+IF(J320="Buy Order",Settings!$B$16,0)))</x:f>
      </x:c>
      <x:c r="N320" s="73" t="str">
        <x:f>IF(A320="","",G320*M320)</x:f>
      </x:c>
    </x:row>
    <x:row r="321">
      <x:c r="A321" s="42"/>
      <x:c r="B321" s="42"/>
      <x:c r="C321" s="42"/>
      <x:c r="D321" s="42"/>
      <x:c r="E321" s="42"/>
      <x:c r="F321" s="42"/>
      <x:c r="G321" s="70"/>
      <x:c r="H321" s="42"/>
      <x:c r="I321" s="42"/>
      <x:c r="J321" s="42"/>
      <x:c r="K321" s="72"/>
      <x:c r="L321" s="73" t="str">
        <x:f>IF(A321="","",IF(K321&gt;0,K321,IF(J321="Buy Order",SUMIFS('Market Data'!$F$5:$F$504,'Market Data'!$A$5:$A$504,I321,'Market Data'!$B$5:$B$504,E321,'Market Data'!$D$5:$D$504,1),SUMIFS('Market Data'!$E$5:$E$504,'Market Data'!$A$5:$A$504,I321,'Market Data'!$B$5:$B$504,E321,'Market Data'!$D$5:$D$504,1))))</x:f>
      </x:c>
      <x:c r="M321" s="73" t="str">
        <x:f>IF(A321="","",L321*(1+IF(J321="Buy Order",Settings!$B$16,0)))</x:f>
      </x:c>
      <x:c r="N321" s="73" t="str">
        <x:f>IF(A321="","",G321*M321)</x:f>
      </x:c>
    </x:row>
    <x:row r="322">
      <x:c r="A322" s="42"/>
      <x:c r="B322" s="42"/>
      <x:c r="C322" s="42"/>
      <x:c r="D322" s="42"/>
      <x:c r="E322" s="42"/>
      <x:c r="F322" s="42"/>
      <x:c r="G322" s="70"/>
      <x:c r="H322" s="42"/>
      <x:c r="I322" s="42"/>
      <x:c r="J322" s="42"/>
      <x:c r="K322" s="72"/>
      <x:c r="L322" s="73" t="str">
        <x:f>IF(A322="","",IF(K322&gt;0,K322,IF(J322="Buy Order",SUMIFS('Market Data'!$F$5:$F$504,'Market Data'!$A$5:$A$504,I322,'Market Data'!$B$5:$B$504,E322,'Market Data'!$D$5:$D$504,1),SUMIFS('Market Data'!$E$5:$E$504,'Market Data'!$A$5:$A$504,I322,'Market Data'!$B$5:$B$504,E322,'Market Data'!$D$5:$D$504,1))))</x:f>
      </x:c>
      <x:c r="M322" s="73" t="str">
        <x:f>IF(A322="","",L322*(1+IF(J322="Buy Order",Settings!$B$16,0)))</x:f>
      </x:c>
      <x:c r="N322" s="73" t="str">
        <x:f>IF(A322="","",G322*M322)</x:f>
      </x:c>
    </x:row>
    <x:row r="323">
      <x:c r="A323" s="42"/>
      <x:c r="B323" s="42"/>
      <x:c r="C323" s="42"/>
      <x:c r="D323" s="42"/>
      <x:c r="E323" s="42"/>
      <x:c r="F323" s="42"/>
      <x:c r="G323" s="70"/>
      <x:c r="H323" s="42"/>
      <x:c r="I323" s="42"/>
      <x:c r="J323" s="42"/>
      <x:c r="K323" s="72"/>
      <x:c r="L323" s="73" t="str">
        <x:f>IF(A323="","",IF(K323&gt;0,K323,IF(J323="Buy Order",SUMIFS('Market Data'!$F$5:$F$504,'Market Data'!$A$5:$A$504,I323,'Market Data'!$B$5:$B$504,E323,'Market Data'!$D$5:$D$504,1),SUMIFS('Market Data'!$E$5:$E$504,'Market Data'!$A$5:$A$504,I323,'Market Data'!$B$5:$B$504,E323,'Market Data'!$D$5:$D$504,1))))</x:f>
      </x:c>
      <x:c r="M323" s="73" t="str">
        <x:f>IF(A323="","",L323*(1+IF(J323="Buy Order",Settings!$B$16,0)))</x:f>
      </x:c>
      <x:c r="N323" s="73" t="str">
        <x:f>IF(A323="","",G323*M323)</x:f>
      </x:c>
    </x:row>
    <x:row r="324">
      <x:c r="A324" s="42"/>
      <x:c r="B324" s="42"/>
      <x:c r="C324" s="42"/>
      <x:c r="D324" s="42"/>
      <x:c r="E324" s="42"/>
      <x:c r="F324" s="42"/>
      <x:c r="G324" s="70"/>
      <x:c r="H324" s="42"/>
      <x:c r="I324" s="42"/>
      <x:c r="J324" s="42"/>
      <x:c r="K324" s="72"/>
      <x:c r="L324" s="73" t="str">
        <x:f>IF(A324="","",IF(K324&gt;0,K324,IF(J324="Buy Order",SUMIFS('Market Data'!$F$5:$F$504,'Market Data'!$A$5:$A$504,I324,'Market Data'!$B$5:$B$504,E324,'Market Data'!$D$5:$D$504,1),SUMIFS('Market Data'!$E$5:$E$504,'Market Data'!$A$5:$A$504,I324,'Market Data'!$B$5:$B$504,E324,'Market Data'!$D$5:$D$504,1))))</x:f>
      </x:c>
      <x:c r="M324" s="73" t="str">
        <x:f>IF(A324="","",L324*(1+IF(J324="Buy Order",Settings!$B$16,0)))</x:f>
      </x:c>
      <x:c r="N324" s="73" t="str">
        <x:f>IF(A324="","",G324*M324)</x:f>
      </x:c>
    </x:row>
    <x:row r="325">
      <x:c r="A325" s="42"/>
      <x:c r="B325" s="42"/>
      <x:c r="C325" s="42"/>
      <x:c r="D325" s="42"/>
      <x:c r="E325" s="42"/>
      <x:c r="F325" s="42"/>
      <x:c r="G325" s="70"/>
      <x:c r="H325" s="42"/>
      <x:c r="I325" s="42"/>
      <x:c r="J325" s="42"/>
      <x:c r="K325" s="72"/>
      <x:c r="L325" s="73" t="str">
        <x:f>IF(A325="","",IF(K325&gt;0,K325,IF(J325="Buy Order",SUMIFS('Market Data'!$F$5:$F$504,'Market Data'!$A$5:$A$504,I325,'Market Data'!$B$5:$B$504,E325,'Market Data'!$D$5:$D$504,1),SUMIFS('Market Data'!$E$5:$E$504,'Market Data'!$A$5:$A$504,I325,'Market Data'!$B$5:$B$504,E325,'Market Data'!$D$5:$D$504,1))))</x:f>
      </x:c>
      <x:c r="M325" s="73" t="str">
        <x:f>IF(A325="","",L325*(1+IF(J325="Buy Order",Settings!$B$16,0)))</x:f>
      </x:c>
      <x:c r="N325" s="73" t="str">
        <x:f>IF(A325="","",G325*M325)</x:f>
      </x:c>
    </x:row>
    <x:row r="326">
      <x:c r="A326" s="42"/>
      <x:c r="B326" s="42"/>
      <x:c r="C326" s="42"/>
      <x:c r="D326" s="42"/>
      <x:c r="E326" s="42"/>
      <x:c r="F326" s="42"/>
      <x:c r="G326" s="70"/>
      <x:c r="H326" s="42"/>
      <x:c r="I326" s="42"/>
      <x:c r="J326" s="42"/>
      <x:c r="K326" s="72"/>
      <x:c r="L326" s="73" t="str">
        <x:f>IF(A326="","",IF(K326&gt;0,K326,IF(J326="Buy Order",SUMIFS('Market Data'!$F$5:$F$504,'Market Data'!$A$5:$A$504,I326,'Market Data'!$B$5:$B$504,E326,'Market Data'!$D$5:$D$504,1),SUMIFS('Market Data'!$E$5:$E$504,'Market Data'!$A$5:$A$504,I326,'Market Data'!$B$5:$B$504,E326,'Market Data'!$D$5:$D$504,1))))</x:f>
      </x:c>
      <x:c r="M326" s="73" t="str">
        <x:f>IF(A326="","",L326*(1+IF(J326="Buy Order",Settings!$B$16,0)))</x:f>
      </x:c>
      <x:c r="N326" s="73" t="str">
        <x:f>IF(A326="","",G326*M326)</x:f>
      </x:c>
    </x:row>
    <x:row r="327">
      <x:c r="A327" s="42"/>
      <x:c r="B327" s="42"/>
      <x:c r="C327" s="42"/>
      <x:c r="D327" s="42"/>
      <x:c r="E327" s="42"/>
      <x:c r="F327" s="42"/>
      <x:c r="G327" s="70"/>
      <x:c r="H327" s="42"/>
      <x:c r="I327" s="42"/>
      <x:c r="J327" s="42"/>
      <x:c r="K327" s="72"/>
      <x:c r="L327" s="73" t="str">
        <x:f>IF(A327="","",IF(K327&gt;0,K327,IF(J327="Buy Order",SUMIFS('Market Data'!$F$5:$F$504,'Market Data'!$A$5:$A$504,I327,'Market Data'!$B$5:$B$504,E327,'Market Data'!$D$5:$D$504,1),SUMIFS('Market Data'!$E$5:$E$504,'Market Data'!$A$5:$A$504,I327,'Market Data'!$B$5:$B$504,E327,'Market Data'!$D$5:$D$504,1))))</x:f>
      </x:c>
      <x:c r="M327" s="73" t="str">
        <x:f>IF(A327="","",L327*(1+IF(J327="Buy Order",Settings!$B$16,0)))</x:f>
      </x:c>
      <x:c r="N327" s="73" t="str">
        <x:f>IF(A327="","",G327*M327)</x:f>
      </x:c>
    </x:row>
    <x:row r="328">
      <x:c r="A328" s="42"/>
      <x:c r="B328" s="42"/>
      <x:c r="C328" s="42"/>
      <x:c r="D328" s="42"/>
      <x:c r="E328" s="42"/>
      <x:c r="F328" s="42"/>
      <x:c r="G328" s="70"/>
      <x:c r="H328" s="42"/>
      <x:c r="I328" s="42"/>
      <x:c r="J328" s="42"/>
      <x:c r="K328" s="72"/>
      <x:c r="L328" s="73" t="str">
        <x:f>IF(A328="","",IF(K328&gt;0,K328,IF(J328="Buy Order",SUMIFS('Market Data'!$F$5:$F$504,'Market Data'!$A$5:$A$504,I328,'Market Data'!$B$5:$B$504,E328,'Market Data'!$D$5:$D$504,1),SUMIFS('Market Data'!$E$5:$E$504,'Market Data'!$A$5:$A$504,I328,'Market Data'!$B$5:$B$504,E328,'Market Data'!$D$5:$D$504,1))))</x:f>
      </x:c>
      <x:c r="M328" s="73" t="str">
        <x:f>IF(A328="","",L328*(1+IF(J328="Buy Order",Settings!$B$16,0)))</x:f>
      </x:c>
      <x:c r="N328" s="73" t="str">
        <x:f>IF(A328="","",G328*M328)</x:f>
      </x:c>
    </x:row>
    <x:row r="329">
      <x:c r="A329" s="42"/>
      <x:c r="B329" s="42"/>
      <x:c r="C329" s="42"/>
      <x:c r="D329" s="42"/>
      <x:c r="E329" s="42"/>
      <x:c r="F329" s="42"/>
      <x:c r="G329" s="70"/>
      <x:c r="H329" s="42"/>
      <x:c r="I329" s="42"/>
      <x:c r="J329" s="42"/>
      <x:c r="K329" s="72"/>
      <x:c r="L329" s="73" t="str">
        <x:f>IF(A329="","",IF(K329&gt;0,K329,IF(J329="Buy Order",SUMIFS('Market Data'!$F$5:$F$504,'Market Data'!$A$5:$A$504,I329,'Market Data'!$B$5:$B$504,E329,'Market Data'!$D$5:$D$504,1),SUMIFS('Market Data'!$E$5:$E$504,'Market Data'!$A$5:$A$504,I329,'Market Data'!$B$5:$B$504,E329,'Market Data'!$D$5:$D$504,1))))</x:f>
      </x:c>
      <x:c r="M329" s="73" t="str">
        <x:f>IF(A329="","",L329*(1+IF(J329="Buy Order",Settings!$B$16,0)))</x:f>
      </x:c>
      <x:c r="N329" s="73" t="str">
        <x:f>IF(A329="","",G329*M329)</x:f>
      </x:c>
    </x:row>
    <x:row r="330">
      <x:c r="A330" s="42"/>
      <x:c r="B330" s="42"/>
      <x:c r="C330" s="42"/>
      <x:c r="D330" s="42"/>
      <x:c r="E330" s="42"/>
      <x:c r="F330" s="42"/>
      <x:c r="G330" s="70"/>
      <x:c r="H330" s="42"/>
      <x:c r="I330" s="42"/>
      <x:c r="J330" s="42"/>
      <x:c r="K330" s="72"/>
      <x:c r="L330" s="73" t="str">
        <x:f>IF(A330="","",IF(K330&gt;0,K330,IF(J330="Buy Order",SUMIFS('Market Data'!$F$5:$F$504,'Market Data'!$A$5:$A$504,I330,'Market Data'!$B$5:$B$504,E330,'Market Data'!$D$5:$D$504,1),SUMIFS('Market Data'!$E$5:$E$504,'Market Data'!$A$5:$A$504,I330,'Market Data'!$B$5:$B$504,E330,'Market Data'!$D$5:$D$504,1))))</x:f>
      </x:c>
      <x:c r="M330" s="73" t="str">
        <x:f>IF(A330="","",L330*(1+IF(J330="Buy Order",Settings!$B$16,0)))</x:f>
      </x:c>
      <x:c r="N330" s="73" t="str">
        <x:f>IF(A330="","",G330*M330)</x:f>
      </x:c>
    </x:row>
    <x:row r="331">
      <x:c r="A331" s="42"/>
      <x:c r="B331" s="42"/>
      <x:c r="C331" s="42"/>
      <x:c r="D331" s="42"/>
      <x:c r="E331" s="42"/>
      <x:c r="F331" s="42"/>
      <x:c r="G331" s="70"/>
      <x:c r="H331" s="42"/>
      <x:c r="I331" s="42"/>
      <x:c r="J331" s="42"/>
      <x:c r="K331" s="72"/>
      <x:c r="L331" s="73" t="str">
        <x:f>IF(A331="","",IF(K331&gt;0,K331,IF(J331="Buy Order",SUMIFS('Market Data'!$F$5:$F$504,'Market Data'!$A$5:$A$504,I331,'Market Data'!$B$5:$B$504,E331,'Market Data'!$D$5:$D$504,1),SUMIFS('Market Data'!$E$5:$E$504,'Market Data'!$A$5:$A$504,I331,'Market Data'!$B$5:$B$504,E331,'Market Data'!$D$5:$D$504,1))))</x:f>
      </x:c>
      <x:c r="M331" s="73" t="str">
        <x:f>IF(A331="","",L331*(1+IF(J331="Buy Order",Settings!$B$16,0)))</x:f>
      </x:c>
      <x:c r="N331" s="73" t="str">
        <x:f>IF(A331="","",G331*M331)</x:f>
      </x:c>
    </x:row>
    <x:row r="332">
      <x:c r="A332" s="42"/>
      <x:c r="B332" s="42"/>
      <x:c r="C332" s="42"/>
      <x:c r="D332" s="42"/>
      <x:c r="E332" s="42"/>
      <x:c r="F332" s="42"/>
      <x:c r="G332" s="70"/>
      <x:c r="H332" s="42"/>
      <x:c r="I332" s="42"/>
      <x:c r="J332" s="42"/>
      <x:c r="K332" s="72"/>
      <x:c r="L332" s="73" t="str">
        <x:f>IF(A332="","",IF(K332&gt;0,K332,IF(J332="Buy Order",SUMIFS('Market Data'!$F$5:$F$504,'Market Data'!$A$5:$A$504,I332,'Market Data'!$B$5:$B$504,E332,'Market Data'!$D$5:$D$504,1),SUMIFS('Market Data'!$E$5:$E$504,'Market Data'!$A$5:$A$504,I332,'Market Data'!$B$5:$B$504,E332,'Market Data'!$D$5:$D$504,1))))</x:f>
      </x:c>
      <x:c r="M332" s="73" t="str">
        <x:f>IF(A332="","",L332*(1+IF(J332="Buy Order",Settings!$B$16,0)))</x:f>
      </x:c>
      <x:c r="N332" s="73" t="str">
        <x:f>IF(A332="","",G332*M332)</x:f>
      </x:c>
    </x:row>
    <x:row r="333">
      <x:c r="A333" s="42"/>
      <x:c r="B333" s="42"/>
      <x:c r="C333" s="42"/>
      <x:c r="D333" s="42"/>
      <x:c r="E333" s="42"/>
      <x:c r="F333" s="42"/>
      <x:c r="G333" s="70"/>
      <x:c r="H333" s="42"/>
      <x:c r="I333" s="42"/>
      <x:c r="J333" s="42"/>
      <x:c r="K333" s="72"/>
      <x:c r="L333" s="73" t="str">
        <x:f>IF(A333="","",IF(K333&gt;0,K333,IF(J333="Buy Order",SUMIFS('Market Data'!$F$5:$F$504,'Market Data'!$A$5:$A$504,I333,'Market Data'!$B$5:$B$504,E333,'Market Data'!$D$5:$D$504,1),SUMIFS('Market Data'!$E$5:$E$504,'Market Data'!$A$5:$A$504,I333,'Market Data'!$B$5:$B$504,E333,'Market Data'!$D$5:$D$504,1))))</x:f>
      </x:c>
      <x:c r="M333" s="73" t="str">
        <x:f>IF(A333="","",L333*(1+IF(J333="Buy Order",Settings!$B$16,0)))</x:f>
      </x:c>
      <x:c r="N333" s="73" t="str">
        <x:f>IF(A333="","",G333*M333)</x:f>
      </x:c>
    </x:row>
    <x:row r="334">
      <x:c r="A334" s="42"/>
      <x:c r="B334" s="42"/>
      <x:c r="C334" s="42"/>
      <x:c r="D334" s="42"/>
      <x:c r="E334" s="42"/>
      <x:c r="F334" s="42"/>
      <x:c r="G334" s="70"/>
      <x:c r="H334" s="42"/>
      <x:c r="I334" s="42"/>
      <x:c r="J334" s="42"/>
      <x:c r="K334" s="72"/>
      <x:c r="L334" s="73" t="str">
        <x:f>IF(A334="","",IF(K334&gt;0,K334,IF(J334="Buy Order",SUMIFS('Market Data'!$F$5:$F$504,'Market Data'!$A$5:$A$504,I334,'Market Data'!$B$5:$B$504,E334,'Market Data'!$D$5:$D$504,1),SUMIFS('Market Data'!$E$5:$E$504,'Market Data'!$A$5:$A$504,I334,'Market Data'!$B$5:$B$504,E334,'Market Data'!$D$5:$D$504,1))))</x:f>
      </x:c>
      <x:c r="M334" s="73" t="str">
        <x:f>IF(A334="","",L334*(1+IF(J334="Buy Order",Settings!$B$16,0)))</x:f>
      </x:c>
      <x:c r="N334" s="73" t="str">
        <x:f>IF(A334="","",G334*M334)</x:f>
      </x:c>
    </x:row>
    <x:row r="335">
      <x:c r="A335" s="42"/>
      <x:c r="B335" s="42"/>
      <x:c r="C335" s="42"/>
      <x:c r="D335" s="42"/>
      <x:c r="E335" s="42"/>
      <x:c r="F335" s="42"/>
      <x:c r="G335" s="70"/>
      <x:c r="H335" s="42"/>
      <x:c r="I335" s="42"/>
      <x:c r="J335" s="42"/>
      <x:c r="K335" s="72"/>
      <x:c r="L335" s="73" t="str">
        <x:f>IF(A335="","",IF(K335&gt;0,K335,IF(J335="Buy Order",SUMIFS('Market Data'!$F$5:$F$504,'Market Data'!$A$5:$A$504,I335,'Market Data'!$B$5:$B$504,E335,'Market Data'!$D$5:$D$504,1),SUMIFS('Market Data'!$E$5:$E$504,'Market Data'!$A$5:$A$504,I335,'Market Data'!$B$5:$B$504,E335,'Market Data'!$D$5:$D$504,1))))</x:f>
      </x:c>
      <x:c r="M335" s="73" t="str">
        <x:f>IF(A335="","",L335*(1+IF(J335="Buy Order",Settings!$B$16,0)))</x:f>
      </x:c>
      <x:c r="N335" s="73" t="str">
        <x:f>IF(A335="","",G335*M335)</x:f>
      </x:c>
    </x:row>
    <x:row r="336">
      <x:c r="A336" s="42"/>
      <x:c r="B336" s="42"/>
      <x:c r="C336" s="42"/>
      <x:c r="D336" s="42"/>
      <x:c r="E336" s="42"/>
      <x:c r="F336" s="42"/>
      <x:c r="G336" s="70"/>
      <x:c r="H336" s="42"/>
      <x:c r="I336" s="42"/>
      <x:c r="J336" s="42"/>
      <x:c r="K336" s="72"/>
      <x:c r="L336" s="73" t="str">
        <x:f>IF(A336="","",IF(K336&gt;0,K336,IF(J336="Buy Order",SUMIFS('Market Data'!$F$5:$F$504,'Market Data'!$A$5:$A$504,I336,'Market Data'!$B$5:$B$504,E336,'Market Data'!$D$5:$D$504,1),SUMIFS('Market Data'!$E$5:$E$504,'Market Data'!$A$5:$A$504,I336,'Market Data'!$B$5:$B$504,E336,'Market Data'!$D$5:$D$504,1))))</x:f>
      </x:c>
      <x:c r="M336" s="73" t="str">
        <x:f>IF(A336="","",L336*(1+IF(J336="Buy Order",Settings!$B$16,0)))</x:f>
      </x:c>
      <x:c r="N336" s="73" t="str">
        <x:f>IF(A336="","",G336*M336)</x:f>
      </x:c>
    </x:row>
    <x:row r="337">
      <x:c r="A337" s="42"/>
      <x:c r="B337" s="42"/>
      <x:c r="C337" s="42"/>
      <x:c r="D337" s="42"/>
      <x:c r="E337" s="42"/>
      <x:c r="F337" s="42"/>
      <x:c r="G337" s="70"/>
      <x:c r="H337" s="42"/>
      <x:c r="I337" s="42"/>
      <x:c r="J337" s="42"/>
      <x:c r="K337" s="72"/>
      <x:c r="L337" s="73" t="str">
        <x:f>IF(A337="","",IF(K337&gt;0,K337,IF(J337="Buy Order",SUMIFS('Market Data'!$F$5:$F$504,'Market Data'!$A$5:$A$504,I337,'Market Data'!$B$5:$B$504,E337,'Market Data'!$D$5:$D$504,1),SUMIFS('Market Data'!$E$5:$E$504,'Market Data'!$A$5:$A$504,I337,'Market Data'!$B$5:$B$504,E337,'Market Data'!$D$5:$D$504,1))))</x:f>
      </x:c>
      <x:c r="M337" s="73" t="str">
        <x:f>IF(A337="","",L337*(1+IF(J337="Buy Order",Settings!$B$16,0)))</x:f>
      </x:c>
      <x:c r="N337" s="73" t="str">
        <x:f>IF(A337="","",G337*M337)</x:f>
      </x:c>
    </x:row>
    <x:row r="338">
      <x:c r="A338" s="42"/>
      <x:c r="B338" s="42"/>
      <x:c r="C338" s="42"/>
      <x:c r="D338" s="42"/>
      <x:c r="E338" s="42"/>
      <x:c r="F338" s="42"/>
      <x:c r="G338" s="70"/>
      <x:c r="H338" s="42"/>
      <x:c r="I338" s="42"/>
      <x:c r="J338" s="42"/>
      <x:c r="K338" s="72"/>
      <x:c r="L338" s="73" t="str">
        <x:f>IF(A338="","",IF(K338&gt;0,K338,IF(J338="Buy Order",SUMIFS('Market Data'!$F$5:$F$504,'Market Data'!$A$5:$A$504,I338,'Market Data'!$B$5:$B$504,E338,'Market Data'!$D$5:$D$504,1),SUMIFS('Market Data'!$E$5:$E$504,'Market Data'!$A$5:$A$504,I338,'Market Data'!$B$5:$B$504,E338,'Market Data'!$D$5:$D$504,1))))</x:f>
      </x:c>
      <x:c r="M338" s="73" t="str">
        <x:f>IF(A338="","",L338*(1+IF(J338="Buy Order",Settings!$B$16,0)))</x:f>
      </x:c>
      <x:c r="N338" s="73" t="str">
        <x:f>IF(A338="","",G338*M338)</x:f>
      </x:c>
    </x:row>
    <x:row r="339">
      <x:c r="A339" s="42"/>
      <x:c r="B339" s="42"/>
      <x:c r="C339" s="42"/>
      <x:c r="D339" s="42"/>
      <x:c r="E339" s="42"/>
      <x:c r="F339" s="42"/>
      <x:c r="G339" s="70"/>
      <x:c r="H339" s="42"/>
      <x:c r="I339" s="42"/>
      <x:c r="J339" s="42"/>
      <x:c r="K339" s="72"/>
      <x:c r="L339" s="73" t="str">
        <x:f>IF(A339="","",IF(K339&gt;0,K339,IF(J339="Buy Order",SUMIFS('Market Data'!$F$5:$F$504,'Market Data'!$A$5:$A$504,I339,'Market Data'!$B$5:$B$504,E339,'Market Data'!$D$5:$D$504,1),SUMIFS('Market Data'!$E$5:$E$504,'Market Data'!$A$5:$A$504,I339,'Market Data'!$B$5:$B$504,E339,'Market Data'!$D$5:$D$504,1))))</x:f>
      </x:c>
      <x:c r="M339" s="73" t="str">
        <x:f>IF(A339="","",L339*(1+IF(J339="Buy Order",Settings!$B$16,0)))</x:f>
      </x:c>
      <x:c r="N339" s="73" t="str">
        <x:f>IF(A339="","",G339*M339)</x:f>
      </x:c>
    </x:row>
    <x:row r="340">
      <x:c r="A340" s="42"/>
      <x:c r="B340" s="42"/>
      <x:c r="C340" s="42"/>
      <x:c r="D340" s="42"/>
      <x:c r="E340" s="42"/>
      <x:c r="F340" s="42"/>
      <x:c r="G340" s="70"/>
      <x:c r="H340" s="42"/>
      <x:c r="I340" s="42"/>
      <x:c r="J340" s="42"/>
      <x:c r="K340" s="72"/>
      <x:c r="L340" s="73" t="str">
        <x:f>IF(A340="","",IF(K340&gt;0,K340,IF(J340="Buy Order",SUMIFS('Market Data'!$F$5:$F$504,'Market Data'!$A$5:$A$504,I340,'Market Data'!$B$5:$B$504,E340,'Market Data'!$D$5:$D$504,1),SUMIFS('Market Data'!$E$5:$E$504,'Market Data'!$A$5:$A$504,I340,'Market Data'!$B$5:$B$504,E340,'Market Data'!$D$5:$D$504,1))))</x:f>
      </x:c>
      <x:c r="M340" s="73" t="str">
        <x:f>IF(A340="","",L340*(1+IF(J340="Buy Order",Settings!$B$16,0)))</x:f>
      </x:c>
      <x:c r="N340" s="73" t="str">
        <x:f>IF(A340="","",G340*M340)</x:f>
      </x:c>
    </x:row>
    <x:row r="341">
      <x:c r="A341" s="42"/>
      <x:c r="B341" s="42"/>
      <x:c r="C341" s="42"/>
      <x:c r="D341" s="42"/>
      <x:c r="E341" s="42"/>
      <x:c r="F341" s="42"/>
      <x:c r="G341" s="70"/>
      <x:c r="H341" s="42"/>
      <x:c r="I341" s="42"/>
      <x:c r="J341" s="42"/>
      <x:c r="K341" s="72"/>
      <x:c r="L341" s="73" t="str">
        <x:f>IF(A341="","",IF(K341&gt;0,K341,IF(J341="Buy Order",SUMIFS('Market Data'!$F$5:$F$504,'Market Data'!$A$5:$A$504,I341,'Market Data'!$B$5:$B$504,E341,'Market Data'!$D$5:$D$504,1),SUMIFS('Market Data'!$E$5:$E$504,'Market Data'!$A$5:$A$504,I341,'Market Data'!$B$5:$B$504,E341,'Market Data'!$D$5:$D$504,1))))</x:f>
      </x:c>
      <x:c r="M341" s="73" t="str">
        <x:f>IF(A341="","",L341*(1+IF(J341="Buy Order",Settings!$B$16,0)))</x:f>
      </x:c>
      <x:c r="N341" s="73" t="str">
        <x:f>IF(A341="","",G341*M341)</x:f>
      </x:c>
    </x:row>
    <x:row r="342">
      <x:c r="A342" s="42"/>
      <x:c r="B342" s="42"/>
      <x:c r="C342" s="42"/>
      <x:c r="D342" s="42"/>
      <x:c r="E342" s="42"/>
      <x:c r="F342" s="42"/>
      <x:c r="G342" s="70"/>
      <x:c r="H342" s="42"/>
      <x:c r="I342" s="42"/>
      <x:c r="J342" s="42"/>
      <x:c r="K342" s="72"/>
      <x:c r="L342" s="73" t="str">
        <x:f>IF(A342="","",IF(K342&gt;0,K342,IF(J342="Buy Order",SUMIFS('Market Data'!$F$5:$F$504,'Market Data'!$A$5:$A$504,I342,'Market Data'!$B$5:$B$504,E342,'Market Data'!$D$5:$D$504,1),SUMIFS('Market Data'!$E$5:$E$504,'Market Data'!$A$5:$A$504,I342,'Market Data'!$B$5:$B$504,E342,'Market Data'!$D$5:$D$504,1))))</x:f>
      </x:c>
      <x:c r="M342" s="73" t="str">
        <x:f>IF(A342="","",L342*(1+IF(J342="Buy Order",Settings!$B$16,0)))</x:f>
      </x:c>
      <x:c r="N342" s="73" t="str">
        <x:f>IF(A342="","",G342*M342)</x:f>
      </x:c>
    </x:row>
    <x:row r="343">
      <x:c r="A343" s="42"/>
      <x:c r="B343" s="42"/>
      <x:c r="C343" s="42"/>
      <x:c r="D343" s="42"/>
      <x:c r="E343" s="42"/>
      <x:c r="F343" s="42"/>
      <x:c r="G343" s="70"/>
      <x:c r="H343" s="42"/>
      <x:c r="I343" s="42"/>
      <x:c r="J343" s="42"/>
      <x:c r="K343" s="72"/>
      <x:c r="L343" s="73" t="str">
        <x:f>IF(A343="","",IF(K343&gt;0,K343,IF(J343="Buy Order",SUMIFS('Market Data'!$F$5:$F$504,'Market Data'!$A$5:$A$504,I343,'Market Data'!$B$5:$B$504,E343,'Market Data'!$D$5:$D$504,1),SUMIFS('Market Data'!$E$5:$E$504,'Market Data'!$A$5:$A$504,I343,'Market Data'!$B$5:$B$504,E343,'Market Data'!$D$5:$D$504,1))))</x:f>
      </x:c>
      <x:c r="M343" s="73" t="str">
        <x:f>IF(A343="","",L343*(1+IF(J343="Buy Order",Settings!$B$16,0)))</x:f>
      </x:c>
      <x:c r="N343" s="73" t="str">
        <x:f>IF(A343="","",G343*M343)</x:f>
      </x:c>
    </x:row>
    <x:row r="344">
      <x:c r="A344" s="42"/>
      <x:c r="B344" s="42"/>
      <x:c r="C344" s="42"/>
      <x:c r="D344" s="42"/>
      <x:c r="E344" s="42"/>
      <x:c r="F344" s="42"/>
      <x:c r="G344" s="70"/>
      <x:c r="H344" s="42"/>
      <x:c r="I344" s="42"/>
      <x:c r="J344" s="42"/>
      <x:c r="K344" s="72"/>
      <x:c r="L344" s="73" t="str">
        <x:f>IF(A344="","",IF(K344&gt;0,K344,IF(J344="Buy Order",SUMIFS('Market Data'!$F$5:$F$504,'Market Data'!$A$5:$A$504,I344,'Market Data'!$B$5:$B$504,E344,'Market Data'!$D$5:$D$504,1),SUMIFS('Market Data'!$E$5:$E$504,'Market Data'!$A$5:$A$504,I344,'Market Data'!$B$5:$B$504,E344,'Market Data'!$D$5:$D$504,1))))</x:f>
      </x:c>
      <x:c r="M344" s="73" t="str">
        <x:f>IF(A344="","",L344*(1+IF(J344="Buy Order",Settings!$B$16,0)))</x:f>
      </x:c>
      <x:c r="N344" s="73" t="str">
        <x:f>IF(A344="","",G344*M344)</x:f>
      </x:c>
    </x:row>
    <x:row r="345">
      <x:c r="A345" s="42"/>
      <x:c r="B345" s="42"/>
      <x:c r="C345" s="42"/>
      <x:c r="D345" s="42"/>
      <x:c r="E345" s="42"/>
      <x:c r="F345" s="42"/>
      <x:c r="G345" s="70"/>
      <x:c r="H345" s="42"/>
      <x:c r="I345" s="42"/>
      <x:c r="J345" s="42"/>
      <x:c r="K345" s="72"/>
      <x:c r="L345" s="73" t="str">
        <x:f>IF(A345="","",IF(K345&gt;0,K345,IF(J345="Buy Order",SUMIFS('Market Data'!$F$5:$F$504,'Market Data'!$A$5:$A$504,I345,'Market Data'!$B$5:$B$504,E345,'Market Data'!$D$5:$D$504,1),SUMIFS('Market Data'!$E$5:$E$504,'Market Data'!$A$5:$A$504,I345,'Market Data'!$B$5:$B$504,E345,'Market Data'!$D$5:$D$504,1))))</x:f>
      </x:c>
      <x:c r="M345" s="73" t="str">
        <x:f>IF(A345="","",L345*(1+IF(J345="Buy Order",Settings!$B$16,0)))</x:f>
      </x:c>
      <x:c r="N345" s="73" t="str">
        <x:f>IF(A345="","",G345*M345)</x:f>
      </x:c>
    </x:row>
    <x:row r="346">
      <x:c r="A346" s="42"/>
      <x:c r="B346" s="42"/>
      <x:c r="C346" s="42"/>
      <x:c r="D346" s="42"/>
      <x:c r="E346" s="42"/>
      <x:c r="F346" s="42"/>
      <x:c r="G346" s="70"/>
      <x:c r="H346" s="42"/>
      <x:c r="I346" s="42"/>
      <x:c r="J346" s="42"/>
      <x:c r="K346" s="72"/>
      <x:c r="L346" s="73" t="str">
        <x:f>IF(A346="","",IF(K346&gt;0,K346,IF(J346="Buy Order",SUMIFS('Market Data'!$F$5:$F$504,'Market Data'!$A$5:$A$504,I346,'Market Data'!$B$5:$B$504,E346,'Market Data'!$D$5:$D$504,1),SUMIFS('Market Data'!$E$5:$E$504,'Market Data'!$A$5:$A$504,I346,'Market Data'!$B$5:$B$504,E346,'Market Data'!$D$5:$D$504,1))))</x:f>
      </x:c>
      <x:c r="M346" s="73" t="str">
        <x:f>IF(A346="","",L346*(1+IF(J346="Buy Order",Settings!$B$16,0)))</x:f>
      </x:c>
      <x:c r="N346" s="73" t="str">
        <x:f>IF(A346="","",G346*M346)</x:f>
      </x:c>
    </x:row>
    <x:row r="347">
      <x:c r="A347" s="42"/>
      <x:c r="B347" s="42"/>
      <x:c r="C347" s="42"/>
      <x:c r="D347" s="42"/>
      <x:c r="E347" s="42"/>
      <x:c r="F347" s="42"/>
      <x:c r="G347" s="70"/>
      <x:c r="H347" s="42"/>
      <x:c r="I347" s="42"/>
      <x:c r="J347" s="42"/>
      <x:c r="K347" s="72"/>
      <x:c r="L347" s="73" t="str">
        <x:f>IF(A347="","",IF(K347&gt;0,K347,IF(J347="Buy Order",SUMIFS('Market Data'!$F$5:$F$504,'Market Data'!$A$5:$A$504,I347,'Market Data'!$B$5:$B$504,E347,'Market Data'!$D$5:$D$504,1),SUMIFS('Market Data'!$E$5:$E$504,'Market Data'!$A$5:$A$504,I347,'Market Data'!$B$5:$B$504,E347,'Market Data'!$D$5:$D$504,1))))</x:f>
      </x:c>
      <x:c r="M347" s="73" t="str">
        <x:f>IF(A347="","",L347*(1+IF(J347="Buy Order",Settings!$B$16,0)))</x:f>
      </x:c>
      <x:c r="N347" s="73" t="str">
        <x:f>IF(A347="","",G347*M347)</x:f>
      </x:c>
    </x:row>
    <x:row r="348">
      <x:c r="A348" s="42"/>
      <x:c r="B348" s="42"/>
      <x:c r="C348" s="42"/>
      <x:c r="D348" s="42"/>
      <x:c r="E348" s="42"/>
      <x:c r="F348" s="42"/>
      <x:c r="G348" s="70"/>
      <x:c r="H348" s="42"/>
      <x:c r="I348" s="42"/>
      <x:c r="J348" s="42"/>
      <x:c r="K348" s="72"/>
      <x:c r="L348" s="73" t="str">
        <x:f>IF(A348="","",IF(K348&gt;0,K348,IF(J348="Buy Order",SUMIFS('Market Data'!$F$5:$F$504,'Market Data'!$A$5:$A$504,I348,'Market Data'!$B$5:$B$504,E348,'Market Data'!$D$5:$D$504,1),SUMIFS('Market Data'!$E$5:$E$504,'Market Data'!$A$5:$A$504,I348,'Market Data'!$B$5:$B$504,E348,'Market Data'!$D$5:$D$504,1))))</x:f>
      </x:c>
      <x:c r="M348" s="73" t="str">
        <x:f>IF(A348="","",L348*(1+IF(J348="Buy Order",Settings!$B$16,0)))</x:f>
      </x:c>
      <x:c r="N348" s="73" t="str">
        <x:f>IF(A348="","",G348*M348)</x:f>
      </x:c>
    </x:row>
    <x:row r="349">
      <x:c r="A349" s="42"/>
      <x:c r="B349" s="42"/>
      <x:c r="C349" s="42"/>
      <x:c r="D349" s="42"/>
      <x:c r="E349" s="42"/>
      <x:c r="F349" s="42"/>
      <x:c r="G349" s="70"/>
      <x:c r="H349" s="42"/>
      <x:c r="I349" s="42"/>
      <x:c r="J349" s="42"/>
      <x:c r="K349" s="72"/>
      <x:c r="L349" s="73" t="str">
        <x:f>IF(A349="","",IF(K349&gt;0,K349,IF(J349="Buy Order",SUMIFS('Market Data'!$F$5:$F$504,'Market Data'!$A$5:$A$504,I349,'Market Data'!$B$5:$B$504,E349,'Market Data'!$D$5:$D$504,1),SUMIFS('Market Data'!$E$5:$E$504,'Market Data'!$A$5:$A$504,I349,'Market Data'!$B$5:$B$504,E349,'Market Data'!$D$5:$D$504,1))))</x:f>
      </x:c>
      <x:c r="M349" s="73" t="str">
        <x:f>IF(A349="","",L349*(1+IF(J349="Buy Order",Settings!$B$16,0)))</x:f>
      </x:c>
      <x:c r="N349" s="73" t="str">
        <x:f>IF(A349="","",G349*M349)</x:f>
      </x:c>
    </x:row>
    <x:row r="350">
      <x:c r="A350" s="42"/>
      <x:c r="B350" s="42"/>
      <x:c r="C350" s="42"/>
      <x:c r="D350" s="42"/>
      <x:c r="E350" s="42"/>
      <x:c r="F350" s="42"/>
      <x:c r="G350" s="70"/>
      <x:c r="H350" s="42"/>
      <x:c r="I350" s="42"/>
      <x:c r="J350" s="42"/>
      <x:c r="K350" s="72"/>
      <x:c r="L350" s="73" t="str">
        <x:f>IF(A350="","",IF(K350&gt;0,K350,IF(J350="Buy Order",SUMIFS('Market Data'!$F$5:$F$504,'Market Data'!$A$5:$A$504,I350,'Market Data'!$B$5:$B$504,E350,'Market Data'!$D$5:$D$504,1),SUMIFS('Market Data'!$E$5:$E$504,'Market Data'!$A$5:$A$504,I350,'Market Data'!$B$5:$B$504,E350,'Market Data'!$D$5:$D$504,1))))</x:f>
      </x:c>
      <x:c r="M350" s="73" t="str">
        <x:f>IF(A350="","",L350*(1+IF(J350="Buy Order",Settings!$B$16,0)))</x:f>
      </x:c>
      <x:c r="N350" s="73" t="str">
        <x:f>IF(A350="","",G350*M350)</x:f>
      </x:c>
    </x:row>
    <x:row r="351">
      <x:c r="A351" s="42"/>
      <x:c r="B351" s="42"/>
      <x:c r="C351" s="42"/>
      <x:c r="D351" s="42"/>
      <x:c r="E351" s="42"/>
      <x:c r="F351" s="42"/>
      <x:c r="G351" s="70"/>
      <x:c r="H351" s="42"/>
      <x:c r="I351" s="42"/>
      <x:c r="J351" s="42"/>
      <x:c r="K351" s="72"/>
      <x:c r="L351" s="73" t="str">
        <x:f>IF(A351="","",IF(K351&gt;0,K351,IF(J351="Buy Order",SUMIFS('Market Data'!$F$5:$F$504,'Market Data'!$A$5:$A$504,I351,'Market Data'!$B$5:$B$504,E351,'Market Data'!$D$5:$D$504,1),SUMIFS('Market Data'!$E$5:$E$504,'Market Data'!$A$5:$A$504,I351,'Market Data'!$B$5:$B$504,E351,'Market Data'!$D$5:$D$504,1))))</x:f>
      </x:c>
      <x:c r="M351" s="73" t="str">
        <x:f>IF(A351="","",L351*(1+IF(J351="Buy Order",Settings!$B$16,0)))</x:f>
      </x:c>
      <x:c r="N351" s="73" t="str">
        <x:f>IF(A351="","",G351*M351)</x:f>
      </x:c>
    </x:row>
    <x:row r="352">
      <x:c r="A352" s="42"/>
      <x:c r="B352" s="42"/>
      <x:c r="C352" s="42"/>
      <x:c r="D352" s="42"/>
      <x:c r="E352" s="42"/>
      <x:c r="F352" s="42"/>
      <x:c r="G352" s="70"/>
      <x:c r="H352" s="42"/>
      <x:c r="I352" s="42"/>
      <x:c r="J352" s="42"/>
      <x:c r="K352" s="72"/>
      <x:c r="L352" s="73" t="str">
        <x:f>IF(A352="","",IF(K352&gt;0,K352,IF(J352="Buy Order",SUMIFS('Market Data'!$F$5:$F$504,'Market Data'!$A$5:$A$504,I352,'Market Data'!$B$5:$B$504,E352,'Market Data'!$D$5:$D$504,1),SUMIFS('Market Data'!$E$5:$E$504,'Market Data'!$A$5:$A$504,I352,'Market Data'!$B$5:$B$504,E352,'Market Data'!$D$5:$D$504,1))))</x:f>
      </x:c>
      <x:c r="M352" s="73" t="str">
        <x:f>IF(A352="","",L352*(1+IF(J352="Buy Order",Settings!$B$16,0)))</x:f>
      </x:c>
      <x:c r="N352" s="73" t="str">
        <x:f>IF(A352="","",G352*M352)</x:f>
      </x:c>
    </x:row>
    <x:row r="353">
      <x:c r="A353" s="42"/>
      <x:c r="B353" s="42"/>
      <x:c r="C353" s="42"/>
      <x:c r="D353" s="42"/>
      <x:c r="E353" s="42"/>
      <x:c r="F353" s="42"/>
      <x:c r="G353" s="70"/>
      <x:c r="H353" s="42"/>
      <x:c r="I353" s="42"/>
      <x:c r="J353" s="42"/>
      <x:c r="K353" s="72"/>
      <x:c r="L353" s="73" t="str">
        <x:f>IF(A353="","",IF(K353&gt;0,K353,IF(J353="Buy Order",SUMIFS('Market Data'!$F$5:$F$504,'Market Data'!$A$5:$A$504,I353,'Market Data'!$B$5:$B$504,E353,'Market Data'!$D$5:$D$504,1),SUMIFS('Market Data'!$E$5:$E$504,'Market Data'!$A$5:$A$504,I353,'Market Data'!$B$5:$B$504,E353,'Market Data'!$D$5:$D$504,1))))</x:f>
      </x:c>
      <x:c r="M353" s="73" t="str">
        <x:f>IF(A353="","",L353*(1+IF(J353="Buy Order",Settings!$B$16,0)))</x:f>
      </x:c>
      <x:c r="N353" s="73" t="str">
        <x:f>IF(A353="","",G353*M353)</x:f>
      </x:c>
    </x:row>
    <x:row r="354">
      <x:c r="A354" s="42"/>
      <x:c r="B354" s="42"/>
      <x:c r="C354" s="42"/>
      <x:c r="D354" s="42"/>
      <x:c r="E354" s="42"/>
      <x:c r="F354" s="42"/>
      <x:c r="G354" s="70"/>
      <x:c r="H354" s="42"/>
      <x:c r="I354" s="42"/>
      <x:c r="J354" s="42"/>
      <x:c r="K354" s="72"/>
      <x:c r="L354" s="73" t="str">
        <x:f>IF(A354="","",IF(K354&gt;0,K354,IF(J354="Buy Order",SUMIFS('Market Data'!$F$5:$F$504,'Market Data'!$A$5:$A$504,I354,'Market Data'!$B$5:$B$504,E354,'Market Data'!$D$5:$D$504,1),SUMIFS('Market Data'!$E$5:$E$504,'Market Data'!$A$5:$A$504,I354,'Market Data'!$B$5:$B$504,E354,'Market Data'!$D$5:$D$504,1))))</x:f>
      </x:c>
      <x:c r="M354" s="73" t="str">
        <x:f>IF(A354="","",L354*(1+IF(J354="Buy Order",Settings!$B$16,0)))</x:f>
      </x:c>
      <x:c r="N354" s="73" t="str">
        <x:f>IF(A354="","",G354*M354)</x:f>
      </x:c>
    </x:row>
    <x:row r="355">
      <x:c r="A355" s="42"/>
      <x:c r="B355" s="42"/>
      <x:c r="C355" s="42"/>
      <x:c r="D355" s="42"/>
      <x:c r="E355" s="42"/>
      <x:c r="F355" s="42"/>
      <x:c r="G355" s="70"/>
      <x:c r="H355" s="42"/>
      <x:c r="I355" s="42"/>
      <x:c r="J355" s="42"/>
      <x:c r="K355" s="72"/>
      <x:c r="L355" s="73" t="str">
        <x:f>IF(A355="","",IF(K355&gt;0,K355,IF(J355="Buy Order",SUMIFS('Market Data'!$F$5:$F$504,'Market Data'!$A$5:$A$504,I355,'Market Data'!$B$5:$B$504,E355,'Market Data'!$D$5:$D$504,1),SUMIFS('Market Data'!$E$5:$E$504,'Market Data'!$A$5:$A$504,I355,'Market Data'!$B$5:$B$504,E355,'Market Data'!$D$5:$D$504,1))))</x:f>
      </x:c>
      <x:c r="M355" s="73" t="str">
        <x:f>IF(A355="","",L355*(1+IF(J355="Buy Order",Settings!$B$16,0)))</x:f>
      </x:c>
      <x:c r="N355" s="73" t="str">
        <x:f>IF(A355="","",G355*M355)</x:f>
      </x:c>
    </x:row>
    <x:row r="356">
      <x:c r="A356" s="42"/>
      <x:c r="B356" s="42"/>
      <x:c r="C356" s="42"/>
      <x:c r="D356" s="42"/>
      <x:c r="E356" s="42"/>
      <x:c r="F356" s="42"/>
      <x:c r="G356" s="70"/>
      <x:c r="H356" s="42"/>
      <x:c r="I356" s="42"/>
      <x:c r="J356" s="42"/>
      <x:c r="K356" s="72"/>
      <x:c r="L356" s="73" t="str">
        <x:f>IF(A356="","",IF(K356&gt;0,K356,IF(J356="Buy Order",SUMIFS('Market Data'!$F$5:$F$504,'Market Data'!$A$5:$A$504,I356,'Market Data'!$B$5:$B$504,E356,'Market Data'!$D$5:$D$504,1),SUMIFS('Market Data'!$E$5:$E$504,'Market Data'!$A$5:$A$504,I356,'Market Data'!$B$5:$B$504,E356,'Market Data'!$D$5:$D$504,1))))</x:f>
      </x:c>
      <x:c r="M356" s="73" t="str">
        <x:f>IF(A356="","",L356*(1+IF(J356="Buy Order",Settings!$B$16,0)))</x:f>
      </x:c>
      <x:c r="N356" s="73" t="str">
        <x:f>IF(A356="","",G356*M356)</x:f>
      </x:c>
    </x:row>
    <x:row r="357">
      <x:c r="A357" s="42"/>
      <x:c r="B357" s="42"/>
      <x:c r="C357" s="42"/>
      <x:c r="D357" s="42"/>
      <x:c r="E357" s="42"/>
      <x:c r="F357" s="42"/>
      <x:c r="G357" s="70"/>
      <x:c r="H357" s="42"/>
      <x:c r="I357" s="42"/>
      <x:c r="J357" s="42"/>
      <x:c r="K357" s="72"/>
      <x:c r="L357" s="73" t="str">
        <x:f>IF(A357="","",IF(K357&gt;0,K357,IF(J357="Buy Order",SUMIFS('Market Data'!$F$5:$F$504,'Market Data'!$A$5:$A$504,I357,'Market Data'!$B$5:$B$504,E357,'Market Data'!$D$5:$D$504,1),SUMIFS('Market Data'!$E$5:$E$504,'Market Data'!$A$5:$A$504,I357,'Market Data'!$B$5:$B$504,E357,'Market Data'!$D$5:$D$504,1))))</x:f>
      </x:c>
      <x:c r="M357" s="73" t="str">
        <x:f>IF(A357="","",L357*(1+IF(J357="Buy Order",Settings!$B$16,0)))</x:f>
      </x:c>
      <x:c r="N357" s="73" t="str">
        <x:f>IF(A357="","",G357*M357)</x:f>
      </x:c>
    </x:row>
    <x:row r="358">
      <x:c r="A358" s="42"/>
      <x:c r="B358" s="42"/>
      <x:c r="C358" s="42"/>
      <x:c r="D358" s="42"/>
      <x:c r="E358" s="42"/>
      <x:c r="F358" s="42"/>
      <x:c r="G358" s="70"/>
      <x:c r="H358" s="42"/>
      <x:c r="I358" s="42"/>
      <x:c r="J358" s="42"/>
      <x:c r="K358" s="72"/>
      <x:c r="L358" s="73" t="str">
        <x:f>IF(A358="","",IF(K358&gt;0,K358,IF(J358="Buy Order",SUMIFS('Market Data'!$F$5:$F$504,'Market Data'!$A$5:$A$504,I358,'Market Data'!$B$5:$B$504,E358,'Market Data'!$D$5:$D$504,1),SUMIFS('Market Data'!$E$5:$E$504,'Market Data'!$A$5:$A$504,I358,'Market Data'!$B$5:$B$504,E358,'Market Data'!$D$5:$D$504,1))))</x:f>
      </x:c>
      <x:c r="M358" s="73" t="str">
        <x:f>IF(A358="","",L358*(1+IF(J358="Buy Order",Settings!$B$16,0)))</x:f>
      </x:c>
      <x:c r="N358" s="73" t="str">
        <x:f>IF(A358="","",G358*M358)</x:f>
      </x:c>
    </x:row>
    <x:row r="359">
      <x:c r="A359" s="42"/>
      <x:c r="B359" s="42"/>
      <x:c r="C359" s="42"/>
      <x:c r="D359" s="42"/>
      <x:c r="E359" s="42"/>
      <x:c r="F359" s="42"/>
      <x:c r="G359" s="70"/>
      <x:c r="H359" s="42"/>
      <x:c r="I359" s="42"/>
      <x:c r="J359" s="42"/>
      <x:c r="K359" s="72"/>
      <x:c r="L359" s="73" t="str">
        <x:f>IF(A359="","",IF(K359&gt;0,K359,IF(J359="Buy Order",SUMIFS('Market Data'!$F$5:$F$504,'Market Data'!$A$5:$A$504,I359,'Market Data'!$B$5:$B$504,E359,'Market Data'!$D$5:$D$504,1),SUMIFS('Market Data'!$E$5:$E$504,'Market Data'!$A$5:$A$504,I359,'Market Data'!$B$5:$B$504,E359,'Market Data'!$D$5:$D$504,1))))</x:f>
      </x:c>
      <x:c r="M359" s="73" t="str">
        <x:f>IF(A359="","",L359*(1+IF(J359="Buy Order",Settings!$B$16,0)))</x:f>
      </x:c>
      <x:c r="N359" s="73" t="str">
        <x:f>IF(A359="","",G359*M359)</x:f>
      </x:c>
    </x:row>
    <x:row r="360">
      <x:c r="A360" s="42"/>
      <x:c r="B360" s="42"/>
      <x:c r="C360" s="42"/>
      <x:c r="D360" s="42"/>
      <x:c r="E360" s="42"/>
      <x:c r="F360" s="42"/>
      <x:c r="G360" s="70"/>
      <x:c r="H360" s="42"/>
      <x:c r="I360" s="42"/>
      <x:c r="J360" s="42"/>
      <x:c r="K360" s="72"/>
      <x:c r="L360" s="73" t="str">
        <x:f>IF(A360="","",IF(K360&gt;0,K360,IF(J360="Buy Order",SUMIFS('Market Data'!$F$5:$F$504,'Market Data'!$A$5:$A$504,I360,'Market Data'!$B$5:$B$504,E360,'Market Data'!$D$5:$D$504,1),SUMIFS('Market Data'!$E$5:$E$504,'Market Data'!$A$5:$A$504,I360,'Market Data'!$B$5:$B$504,E360,'Market Data'!$D$5:$D$504,1))))</x:f>
      </x:c>
      <x:c r="M360" s="73" t="str">
        <x:f>IF(A360="","",L360*(1+IF(J360="Buy Order",Settings!$B$16,0)))</x:f>
      </x:c>
      <x:c r="N360" s="73" t="str">
        <x:f>IF(A360="","",G360*M360)</x:f>
      </x:c>
    </x:row>
    <x:row r="361">
      <x:c r="A361" s="42"/>
      <x:c r="B361" s="42"/>
      <x:c r="C361" s="42"/>
      <x:c r="D361" s="42"/>
      <x:c r="E361" s="42"/>
      <x:c r="F361" s="42"/>
      <x:c r="G361" s="70"/>
      <x:c r="H361" s="42"/>
      <x:c r="I361" s="42"/>
      <x:c r="J361" s="42"/>
      <x:c r="K361" s="72"/>
      <x:c r="L361" s="73" t="str">
        <x:f>IF(A361="","",IF(K361&gt;0,K361,IF(J361="Buy Order",SUMIFS('Market Data'!$F$5:$F$504,'Market Data'!$A$5:$A$504,I361,'Market Data'!$B$5:$B$504,E361,'Market Data'!$D$5:$D$504,1),SUMIFS('Market Data'!$E$5:$E$504,'Market Data'!$A$5:$A$504,I361,'Market Data'!$B$5:$B$504,E361,'Market Data'!$D$5:$D$504,1))))</x:f>
      </x:c>
      <x:c r="M361" s="73" t="str">
        <x:f>IF(A361="","",L361*(1+IF(J361="Buy Order",Settings!$B$16,0)))</x:f>
      </x:c>
      <x:c r="N361" s="73" t="str">
        <x:f>IF(A361="","",G361*M361)</x:f>
      </x:c>
    </x:row>
    <x:row r="362">
      <x:c r="A362" s="42"/>
      <x:c r="B362" s="42"/>
      <x:c r="C362" s="42"/>
      <x:c r="D362" s="42"/>
      <x:c r="E362" s="42"/>
      <x:c r="F362" s="42"/>
      <x:c r="G362" s="70"/>
      <x:c r="H362" s="42"/>
      <x:c r="I362" s="42"/>
      <x:c r="J362" s="42"/>
      <x:c r="K362" s="72"/>
      <x:c r="L362" s="73" t="str">
        <x:f>IF(A362="","",IF(K362&gt;0,K362,IF(J362="Buy Order",SUMIFS('Market Data'!$F$5:$F$504,'Market Data'!$A$5:$A$504,I362,'Market Data'!$B$5:$B$504,E362,'Market Data'!$D$5:$D$504,1),SUMIFS('Market Data'!$E$5:$E$504,'Market Data'!$A$5:$A$504,I362,'Market Data'!$B$5:$B$504,E362,'Market Data'!$D$5:$D$504,1))))</x:f>
      </x:c>
      <x:c r="M362" s="73" t="str">
        <x:f>IF(A362="","",L362*(1+IF(J362="Buy Order",Settings!$B$16,0)))</x:f>
      </x:c>
      <x:c r="N362" s="73" t="str">
        <x:f>IF(A362="","",G362*M362)</x:f>
      </x:c>
    </x:row>
    <x:row r="363">
      <x:c r="A363" s="42"/>
      <x:c r="B363" s="42"/>
      <x:c r="C363" s="42"/>
      <x:c r="D363" s="42"/>
      <x:c r="E363" s="42"/>
      <x:c r="F363" s="42"/>
      <x:c r="G363" s="70"/>
      <x:c r="H363" s="42"/>
      <x:c r="I363" s="42"/>
      <x:c r="J363" s="42"/>
      <x:c r="K363" s="72"/>
      <x:c r="L363" s="73" t="str">
        <x:f>IF(A363="","",IF(K363&gt;0,K363,IF(J363="Buy Order",SUMIFS('Market Data'!$F$5:$F$504,'Market Data'!$A$5:$A$504,I363,'Market Data'!$B$5:$B$504,E363,'Market Data'!$D$5:$D$504,1),SUMIFS('Market Data'!$E$5:$E$504,'Market Data'!$A$5:$A$504,I363,'Market Data'!$B$5:$B$504,E363,'Market Data'!$D$5:$D$504,1))))</x:f>
      </x:c>
      <x:c r="M363" s="73" t="str">
        <x:f>IF(A363="","",L363*(1+IF(J363="Buy Order",Settings!$B$16,0)))</x:f>
      </x:c>
      <x:c r="N363" s="73" t="str">
        <x:f>IF(A363="","",G363*M363)</x:f>
      </x:c>
    </x:row>
    <x:row r="364">
      <x:c r="A364" s="42"/>
      <x:c r="B364" s="42"/>
      <x:c r="C364" s="42"/>
      <x:c r="D364" s="42"/>
      <x:c r="E364" s="42"/>
      <x:c r="F364" s="42"/>
      <x:c r="G364" s="70"/>
      <x:c r="H364" s="42"/>
      <x:c r="I364" s="42"/>
      <x:c r="J364" s="42"/>
      <x:c r="K364" s="72"/>
      <x:c r="L364" s="73" t="str">
        <x:f>IF(A364="","",IF(K364&gt;0,K364,IF(J364="Buy Order",SUMIFS('Market Data'!$F$5:$F$504,'Market Data'!$A$5:$A$504,I364,'Market Data'!$B$5:$B$504,E364,'Market Data'!$D$5:$D$504,1),SUMIFS('Market Data'!$E$5:$E$504,'Market Data'!$A$5:$A$504,I364,'Market Data'!$B$5:$B$504,E364,'Market Data'!$D$5:$D$504,1))))</x:f>
      </x:c>
      <x:c r="M364" s="73" t="str">
        <x:f>IF(A364="","",L364*(1+IF(J364="Buy Order",Settings!$B$16,0)))</x:f>
      </x:c>
      <x:c r="N364" s="73" t="str">
        <x:f>IF(A364="","",G364*M364)</x:f>
      </x:c>
    </x:row>
    <x:row r="365">
      <x:c r="A365" s="42"/>
      <x:c r="B365" s="42"/>
      <x:c r="C365" s="42"/>
      <x:c r="D365" s="42"/>
      <x:c r="E365" s="42"/>
      <x:c r="F365" s="42"/>
      <x:c r="G365" s="70"/>
      <x:c r="H365" s="42"/>
      <x:c r="I365" s="42"/>
      <x:c r="J365" s="42"/>
      <x:c r="K365" s="72"/>
      <x:c r="L365" s="73" t="str">
        <x:f>IF(A365="","",IF(K365&gt;0,K365,IF(J365="Buy Order",SUMIFS('Market Data'!$F$5:$F$504,'Market Data'!$A$5:$A$504,I365,'Market Data'!$B$5:$B$504,E365,'Market Data'!$D$5:$D$504,1),SUMIFS('Market Data'!$E$5:$E$504,'Market Data'!$A$5:$A$504,I365,'Market Data'!$B$5:$B$504,E365,'Market Data'!$D$5:$D$504,1))))</x:f>
      </x:c>
      <x:c r="M365" s="73" t="str">
        <x:f>IF(A365="","",L365*(1+IF(J365="Buy Order",Settings!$B$16,0)))</x:f>
      </x:c>
      <x:c r="N365" s="73" t="str">
        <x:f>IF(A365="","",G365*M365)</x:f>
      </x:c>
    </x:row>
    <x:row r="366">
      <x:c r="A366" s="42"/>
      <x:c r="B366" s="42"/>
      <x:c r="C366" s="42"/>
      <x:c r="D366" s="42"/>
      <x:c r="E366" s="42"/>
      <x:c r="F366" s="42"/>
      <x:c r="G366" s="70"/>
      <x:c r="H366" s="42"/>
      <x:c r="I366" s="42"/>
      <x:c r="J366" s="42"/>
      <x:c r="K366" s="72"/>
      <x:c r="L366" s="73" t="str">
        <x:f>IF(A366="","",IF(K366&gt;0,K366,IF(J366="Buy Order",SUMIFS('Market Data'!$F$5:$F$504,'Market Data'!$A$5:$A$504,I366,'Market Data'!$B$5:$B$504,E366,'Market Data'!$D$5:$D$504,1),SUMIFS('Market Data'!$E$5:$E$504,'Market Data'!$A$5:$A$504,I366,'Market Data'!$B$5:$B$504,E366,'Market Data'!$D$5:$D$504,1))))</x:f>
      </x:c>
      <x:c r="M366" s="73" t="str">
        <x:f>IF(A366="","",L366*(1+IF(J366="Buy Order",Settings!$B$16,0)))</x:f>
      </x:c>
      <x:c r="N366" s="73" t="str">
        <x:f>IF(A366="","",G366*M366)</x:f>
      </x:c>
    </x:row>
    <x:row r="367">
      <x:c r="A367" s="42"/>
      <x:c r="B367" s="42"/>
      <x:c r="C367" s="42"/>
      <x:c r="D367" s="42"/>
      <x:c r="E367" s="42"/>
      <x:c r="F367" s="42"/>
      <x:c r="G367" s="70"/>
      <x:c r="H367" s="42"/>
      <x:c r="I367" s="42"/>
      <x:c r="J367" s="42"/>
      <x:c r="K367" s="72"/>
      <x:c r="L367" s="73" t="str">
        <x:f>IF(A367="","",IF(K367&gt;0,K367,IF(J367="Buy Order",SUMIFS('Market Data'!$F$5:$F$504,'Market Data'!$A$5:$A$504,I367,'Market Data'!$B$5:$B$504,E367,'Market Data'!$D$5:$D$504,1),SUMIFS('Market Data'!$E$5:$E$504,'Market Data'!$A$5:$A$504,I367,'Market Data'!$B$5:$B$504,E367,'Market Data'!$D$5:$D$504,1))))</x:f>
      </x:c>
      <x:c r="M367" s="73" t="str">
        <x:f>IF(A367="","",L367*(1+IF(J367="Buy Order",Settings!$B$16,0)))</x:f>
      </x:c>
      <x:c r="N367" s="73" t="str">
        <x:f>IF(A367="","",G367*M367)</x:f>
      </x:c>
    </x:row>
    <x:row r="368">
      <x:c r="A368" s="42"/>
      <x:c r="B368" s="42"/>
      <x:c r="C368" s="42"/>
      <x:c r="D368" s="42"/>
      <x:c r="E368" s="42"/>
      <x:c r="F368" s="42"/>
      <x:c r="G368" s="70"/>
      <x:c r="H368" s="42"/>
      <x:c r="I368" s="42"/>
      <x:c r="J368" s="42"/>
      <x:c r="K368" s="72"/>
      <x:c r="L368" s="73" t="str">
        <x:f>IF(A368="","",IF(K368&gt;0,K368,IF(J368="Buy Order",SUMIFS('Market Data'!$F$5:$F$504,'Market Data'!$A$5:$A$504,I368,'Market Data'!$B$5:$B$504,E368,'Market Data'!$D$5:$D$504,1),SUMIFS('Market Data'!$E$5:$E$504,'Market Data'!$A$5:$A$504,I368,'Market Data'!$B$5:$B$504,E368,'Market Data'!$D$5:$D$504,1))))</x:f>
      </x:c>
      <x:c r="M368" s="73" t="str">
        <x:f>IF(A368="","",L368*(1+IF(J368="Buy Order",Settings!$B$16,0)))</x:f>
      </x:c>
      <x:c r="N368" s="73" t="str">
        <x:f>IF(A368="","",G368*M368)</x:f>
      </x:c>
    </x:row>
    <x:row r="369">
      <x:c r="A369" s="42"/>
      <x:c r="B369" s="42"/>
      <x:c r="C369" s="42"/>
      <x:c r="D369" s="42"/>
      <x:c r="E369" s="42"/>
      <x:c r="F369" s="42"/>
      <x:c r="G369" s="70"/>
      <x:c r="H369" s="42"/>
      <x:c r="I369" s="42"/>
      <x:c r="J369" s="42"/>
      <x:c r="K369" s="72"/>
      <x:c r="L369" s="73" t="str">
        <x:f>IF(A369="","",IF(K369&gt;0,K369,IF(J369="Buy Order",SUMIFS('Market Data'!$F$5:$F$504,'Market Data'!$A$5:$A$504,I369,'Market Data'!$B$5:$B$504,E369,'Market Data'!$D$5:$D$504,1),SUMIFS('Market Data'!$E$5:$E$504,'Market Data'!$A$5:$A$504,I369,'Market Data'!$B$5:$B$504,E369,'Market Data'!$D$5:$D$504,1))))</x:f>
      </x:c>
      <x:c r="M369" s="73" t="str">
        <x:f>IF(A369="","",L369*(1+IF(J369="Buy Order",Settings!$B$16,0)))</x:f>
      </x:c>
      <x:c r="N369" s="73" t="str">
        <x:f>IF(A369="","",G369*M369)</x:f>
      </x:c>
    </x:row>
    <x:row r="370">
      <x:c r="A370" s="42"/>
      <x:c r="B370" s="42"/>
      <x:c r="C370" s="42"/>
      <x:c r="D370" s="42"/>
      <x:c r="E370" s="42"/>
      <x:c r="F370" s="42"/>
      <x:c r="G370" s="70"/>
      <x:c r="H370" s="42"/>
      <x:c r="I370" s="42"/>
      <x:c r="J370" s="42"/>
      <x:c r="K370" s="72"/>
      <x:c r="L370" s="73" t="str">
        <x:f>IF(A370="","",IF(K370&gt;0,K370,IF(J370="Buy Order",SUMIFS('Market Data'!$F$5:$F$504,'Market Data'!$A$5:$A$504,I370,'Market Data'!$B$5:$B$504,E370,'Market Data'!$D$5:$D$504,1),SUMIFS('Market Data'!$E$5:$E$504,'Market Data'!$A$5:$A$504,I370,'Market Data'!$B$5:$B$504,E370,'Market Data'!$D$5:$D$504,1))))</x:f>
      </x:c>
      <x:c r="M370" s="73" t="str">
        <x:f>IF(A370="","",L370*(1+IF(J370="Buy Order",Settings!$B$16,0)))</x:f>
      </x:c>
      <x:c r="N370" s="73" t="str">
        <x:f>IF(A370="","",G370*M370)</x:f>
      </x:c>
    </x:row>
    <x:row r="371">
      <x:c r="A371" s="42"/>
      <x:c r="B371" s="42"/>
      <x:c r="C371" s="42"/>
      <x:c r="D371" s="42"/>
      <x:c r="E371" s="42"/>
      <x:c r="F371" s="42"/>
      <x:c r="G371" s="70"/>
      <x:c r="H371" s="42"/>
      <x:c r="I371" s="42"/>
      <x:c r="J371" s="42"/>
      <x:c r="K371" s="72"/>
      <x:c r="L371" s="73" t="str">
        <x:f>IF(A371="","",IF(K371&gt;0,K371,IF(J371="Buy Order",SUMIFS('Market Data'!$F$5:$F$504,'Market Data'!$A$5:$A$504,I371,'Market Data'!$B$5:$B$504,E371,'Market Data'!$D$5:$D$504,1),SUMIFS('Market Data'!$E$5:$E$504,'Market Data'!$A$5:$A$504,I371,'Market Data'!$B$5:$B$504,E371,'Market Data'!$D$5:$D$504,1))))</x:f>
      </x:c>
      <x:c r="M371" s="73" t="str">
        <x:f>IF(A371="","",L371*(1+IF(J371="Buy Order",Settings!$B$16,0)))</x:f>
      </x:c>
      <x:c r="N371" s="73" t="str">
        <x:f>IF(A371="","",G371*M371)</x:f>
      </x:c>
    </x:row>
    <x:row r="372">
      <x:c r="A372" s="42"/>
      <x:c r="B372" s="42"/>
      <x:c r="C372" s="42"/>
      <x:c r="D372" s="42"/>
      <x:c r="E372" s="42"/>
      <x:c r="F372" s="42"/>
      <x:c r="G372" s="70"/>
      <x:c r="H372" s="42"/>
      <x:c r="I372" s="42"/>
      <x:c r="J372" s="42"/>
      <x:c r="K372" s="72"/>
      <x:c r="L372" s="73" t="str">
        <x:f>IF(A372="","",IF(K372&gt;0,K372,IF(J372="Buy Order",SUMIFS('Market Data'!$F$5:$F$504,'Market Data'!$A$5:$A$504,I372,'Market Data'!$B$5:$B$504,E372,'Market Data'!$D$5:$D$504,1),SUMIFS('Market Data'!$E$5:$E$504,'Market Data'!$A$5:$A$504,I372,'Market Data'!$B$5:$B$504,E372,'Market Data'!$D$5:$D$504,1))))</x:f>
      </x:c>
      <x:c r="M372" s="73" t="str">
        <x:f>IF(A372="","",L372*(1+IF(J372="Buy Order",Settings!$B$16,0)))</x:f>
      </x:c>
      <x:c r="N372" s="73" t="str">
        <x:f>IF(A372="","",G372*M372)</x:f>
      </x:c>
    </x:row>
    <x:row r="373">
      <x:c r="A373" s="42"/>
      <x:c r="B373" s="42"/>
      <x:c r="C373" s="42"/>
      <x:c r="D373" s="42"/>
      <x:c r="E373" s="42"/>
      <x:c r="F373" s="42"/>
      <x:c r="G373" s="70"/>
      <x:c r="H373" s="42"/>
      <x:c r="I373" s="42"/>
      <x:c r="J373" s="42"/>
      <x:c r="K373" s="72"/>
      <x:c r="L373" s="73" t="str">
        <x:f>IF(A373="","",IF(K373&gt;0,K373,IF(J373="Buy Order",SUMIFS('Market Data'!$F$5:$F$504,'Market Data'!$A$5:$A$504,I373,'Market Data'!$B$5:$B$504,E373,'Market Data'!$D$5:$D$504,1),SUMIFS('Market Data'!$E$5:$E$504,'Market Data'!$A$5:$A$504,I373,'Market Data'!$B$5:$B$504,E373,'Market Data'!$D$5:$D$504,1))))</x:f>
      </x:c>
      <x:c r="M373" s="73" t="str">
        <x:f>IF(A373="","",L373*(1+IF(J373="Buy Order",Settings!$B$16,0)))</x:f>
      </x:c>
      <x:c r="N373" s="73" t="str">
        <x:f>IF(A373="","",G373*M373)</x:f>
      </x:c>
    </x:row>
    <x:row r="374">
      <x:c r="A374" s="42"/>
      <x:c r="B374" s="42"/>
      <x:c r="C374" s="42"/>
      <x:c r="D374" s="42"/>
      <x:c r="E374" s="42"/>
      <x:c r="F374" s="42"/>
      <x:c r="G374" s="70"/>
      <x:c r="H374" s="42"/>
      <x:c r="I374" s="42"/>
      <x:c r="J374" s="42"/>
      <x:c r="K374" s="72"/>
      <x:c r="L374" s="73" t="str">
        <x:f>IF(A374="","",IF(K374&gt;0,K374,IF(J374="Buy Order",SUMIFS('Market Data'!$F$5:$F$504,'Market Data'!$A$5:$A$504,I374,'Market Data'!$B$5:$B$504,E374,'Market Data'!$D$5:$D$504,1),SUMIFS('Market Data'!$E$5:$E$504,'Market Data'!$A$5:$A$504,I374,'Market Data'!$B$5:$B$504,E374,'Market Data'!$D$5:$D$504,1))))</x:f>
      </x:c>
      <x:c r="M374" s="73" t="str">
        <x:f>IF(A374="","",L374*(1+IF(J374="Buy Order",Settings!$B$16,0)))</x:f>
      </x:c>
      <x:c r="N374" s="73" t="str">
        <x:f>IF(A374="","",G374*M374)</x:f>
      </x:c>
    </x:row>
    <x:row r="375">
      <x:c r="A375" s="42"/>
      <x:c r="B375" s="42"/>
      <x:c r="C375" s="42"/>
      <x:c r="D375" s="42"/>
      <x:c r="E375" s="42"/>
      <x:c r="F375" s="42"/>
      <x:c r="G375" s="70"/>
      <x:c r="H375" s="42"/>
      <x:c r="I375" s="42"/>
      <x:c r="J375" s="42"/>
      <x:c r="K375" s="72"/>
      <x:c r="L375" s="73" t="str">
        <x:f>IF(A375="","",IF(K375&gt;0,K375,IF(J375="Buy Order",SUMIFS('Market Data'!$F$5:$F$504,'Market Data'!$A$5:$A$504,I375,'Market Data'!$B$5:$B$504,E375,'Market Data'!$D$5:$D$504,1),SUMIFS('Market Data'!$E$5:$E$504,'Market Data'!$A$5:$A$504,I375,'Market Data'!$B$5:$B$504,E375,'Market Data'!$D$5:$D$504,1))))</x:f>
      </x:c>
      <x:c r="M375" s="73" t="str">
        <x:f>IF(A375="","",L375*(1+IF(J375="Buy Order",Settings!$B$16,0)))</x:f>
      </x:c>
      <x:c r="N375" s="73" t="str">
        <x:f>IF(A375="","",G375*M375)</x:f>
      </x:c>
    </x:row>
    <x:row r="376">
      <x:c r="A376" s="42"/>
      <x:c r="B376" s="42"/>
      <x:c r="C376" s="42"/>
      <x:c r="D376" s="42"/>
      <x:c r="E376" s="42"/>
      <x:c r="F376" s="42"/>
      <x:c r="G376" s="70"/>
      <x:c r="H376" s="42"/>
      <x:c r="I376" s="42"/>
      <x:c r="J376" s="42"/>
      <x:c r="K376" s="72"/>
      <x:c r="L376" s="73" t="str">
        <x:f>IF(A376="","",IF(K376&gt;0,K376,IF(J376="Buy Order",SUMIFS('Market Data'!$F$5:$F$504,'Market Data'!$A$5:$A$504,I376,'Market Data'!$B$5:$B$504,E376,'Market Data'!$D$5:$D$504,1),SUMIFS('Market Data'!$E$5:$E$504,'Market Data'!$A$5:$A$504,I376,'Market Data'!$B$5:$B$504,E376,'Market Data'!$D$5:$D$504,1))))</x:f>
      </x:c>
      <x:c r="M376" s="73" t="str">
        <x:f>IF(A376="","",L376*(1+IF(J376="Buy Order",Settings!$B$16,0)))</x:f>
      </x:c>
      <x:c r="N376" s="73" t="str">
        <x:f>IF(A376="","",G376*M376)</x:f>
      </x:c>
    </x:row>
    <x:row r="377">
      <x:c r="A377" s="42"/>
      <x:c r="B377" s="42"/>
      <x:c r="C377" s="42"/>
      <x:c r="D377" s="42"/>
      <x:c r="E377" s="42"/>
      <x:c r="F377" s="42"/>
      <x:c r="G377" s="70"/>
      <x:c r="H377" s="42"/>
      <x:c r="I377" s="42"/>
      <x:c r="J377" s="42"/>
      <x:c r="K377" s="72"/>
      <x:c r="L377" s="73" t="str">
        <x:f>IF(A377="","",IF(K377&gt;0,K377,IF(J377="Buy Order",SUMIFS('Market Data'!$F$5:$F$504,'Market Data'!$A$5:$A$504,I377,'Market Data'!$B$5:$B$504,E377,'Market Data'!$D$5:$D$504,1),SUMIFS('Market Data'!$E$5:$E$504,'Market Data'!$A$5:$A$504,I377,'Market Data'!$B$5:$B$504,E377,'Market Data'!$D$5:$D$504,1))))</x:f>
      </x:c>
      <x:c r="M377" s="73" t="str">
        <x:f>IF(A377="","",L377*(1+IF(J377="Buy Order",Settings!$B$16,0)))</x:f>
      </x:c>
      <x:c r="N377" s="73" t="str">
        <x:f>IF(A377="","",G377*M377)</x:f>
      </x:c>
    </x:row>
    <x:row r="378">
      <x:c r="A378" s="42"/>
      <x:c r="B378" s="42"/>
      <x:c r="C378" s="42"/>
      <x:c r="D378" s="42"/>
      <x:c r="E378" s="42"/>
      <x:c r="F378" s="42"/>
      <x:c r="G378" s="70"/>
      <x:c r="H378" s="42"/>
      <x:c r="I378" s="42"/>
      <x:c r="J378" s="42"/>
      <x:c r="K378" s="72"/>
      <x:c r="L378" s="73" t="str">
        <x:f>IF(A378="","",IF(K378&gt;0,K378,IF(J378="Buy Order",SUMIFS('Market Data'!$F$5:$F$504,'Market Data'!$A$5:$A$504,I378,'Market Data'!$B$5:$B$504,E378,'Market Data'!$D$5:$D$504,1),SUMIFS('Market Data'!$E$5:$E$504,'Market Data'!$A$5:$A$504,I378,'Market Data'!$B$5:$B$504,E378,'Market Data'!$D$5:$D$504,1))))</x:f>
      </x:c>
      <x:c r="M378" s="73" t="str">
        <x:f>IF(A378="","",L378*(1+IF(J378="Buy Order",Settings!$B$16,0)))</x:f>
      </x:c>
      <x:c r="N378" s="73" t="str">
        <x:f>IF(A378="","",G378*M378)</x:f>
      </x:c>
    </x:row>
    <x:row r="379">
      <x:c r="A379" s="42"/>
      <x:c r="B379" s="42"/>
      <x:c r="C379" s="42"/>
      <x:c r="D379" s="42"/>
      <x:c r="E379" s="42"/>
      <x:c r="F379" s="42"/>
      <x:c r="G379" s="70"/>
      <x:c r="H379" s="42"/>
      <x:c r="I379" s="42"/>
      <x:c r="J379" s="42"/>
      <x:c r="K379" s="72"/>
      <x:c r="L379" s="73" t="str">
        <x:f>IF(A379="","",IF(K379&gt;0,K379,IF(J379="Buy Order",SUMIFS('Market Data'!$F$5:$F$504,'Market Data'!$A$5:$A$504,I379,'Market Data'!$B$5:$B$504,E379,'Market Data'!$D$5:$D$504,1),SUMIFS('Market Data'!$E$5:$E$504,'Market Data'!$A$5:$A$504,I379,'Market Data'!$B$5:$B$504,E379,'Market Data'!$D$5:$D$504,1))))</x:f>
      </x:c>
      <x:c r="M379" s="73" t="str">
        <x:f>IF(A379="","",L379*(1+IF(J379="Buy Order",Settings!$B$16,0)))</x:f>
      </x:c>
      <x:c r="N379" s="73" t="str">
        <x:f>IF(A379="","",G379*M379)</x:f>
      </x:c>
    </x:row>
    <x:row r="380">
      <x:c r="A380" s="42"/>
      <x:c r="B380" s="42"/>
      <x:c r="C380" s="42"/>
      <x:c r="D380" s="42"/>
      <x:c r="E380" s="42"/>
      <x:c r="F380" s="42"/>
      <x:c r="G380" s="70"/>
      <x:c r="H380" s="42"/>
      <x:c r="I380" s="42"/>
      <x:c r="J380" s="42"/>
      <x:c r="K380" s="72"/>
      <x:c r="L380" s="73" t="str">
        <x:f>IF(A380="","",IF(K380&gt;0,K380,IF(J380="Buy Order",SUMIFS('Market Data'!$F$5:$F$504,'Market Data'!$A$5:$A$504,I380,'Market Data'!$B$5:$B$504,E380,'Market Data'!$D$5:$D$504,1),SUMIFS('Market Data'!$E$5:$E$504,'Market Data'!$A$5:$A$504,I380,'Market Data'!$B$5:$B$504,E380,'Market Data'!$D$5:$D$504,1))))</x:f>
      </x:c>
      <x:c r="M380" s="73" t="str">
        <x:f>IF(A380="","",L380*(1+IF(J380="Buy Order",Settings!$B$16,0)))</x:f>
      </x:c>
      <x:c r="N380" s="73" t="str">
        <x:f>IF(A380="","",G380*M380)</x:f>
      </x:c>
    </x:row>
    <x:row r="381">
      <x:c r="A381" s="42"/>
      <x:c r="B381" s="42"/>
      <x:c r="C381" s="42"/>
      <x:c r="D381" s="42"/>
      <x:c r="E381" s="42"/>
      <x:c r="F381" s="42"/>
      <x:c r="G381" s="70"/>
      <x:c r="H381" s="42"/>
      <x:c r="I381" s="42"/>
      <x:c r="J381" s="42"/>
      <x:c r="K381" s="72"/>
      <x:c r="L381" s="73" t="str">
        <x:f>IF(A381="","",IF(K381&gt;0,K381,IF(J381="Buy Order",SUMIFS('Market Data'!$F$5:$F$504,'Market Data'!$A$5:$A$504,I381,'Market Data'!$B$5:$B$504,E381,'Market Data'!$D$5:$D$504,1),SUMIFS('Market Data'!$E$5:$E$504,'Market Data'!$A$5:$A$504,I381,'Market Data'!$B$5:$B$504,E381,'Market Data'!$D$5:$D$504,1))))</x:f>
      </x:c>
      <x:c r="M381" s="73" t="str">
        <x:f>IF(A381="","",L381*(1+IF(J381="Buy Order",Settings!$B$16,0)))</x:f>
      </x:c>
      <x:c r="N381" s="73" t="str">
        <x:f>IF(A381="","",G381*M381)</x:f>
      </x:c>
    </x:row>
    <x:row r="382">
      <x:c r="A382" s="42"/>
      <x:c r="B382" s="42"/>
      <x:c r="C382" s="42"/>
      <x:c r="D382" s="42"/>
      <x:c r="E382" s="42"/>
      <x:c r="F382" s="42"/>
      <x:c r="G382" s="70"/>
      <x:c r="H382" s="42"/>
      <x:c r="I382" s="42"/>
      <x:c r="J382" s="42"/>
      <x:c r="K382" s="72"/>
      <x:c r="L382" s="73" t="str">
        <x:f>IF(A382="","",IF(K382&gt;0,K382,IF(J382="Buy Order",SUMIFS('Market Data'!$F$5:$F$504,'Market Data'!$A$5:$A$504,I382,'Market Data'!$B$5:$B$504,E382,'Market Data'!$D$5:$D$504,1),SUMIFS('Market Data'!$E$5:$E$504,'Market Data'!$A$5:$A$504,I382,'Market Data'!$B$5:$B$504,E382,'Market Data'!$D$5:$D$504,1))))</x:f>
      </x:c>
      <x:c r="M382" s="73" t="str">
        <x:f>IF(A382="","",L382*(1+IF(J382="Buy Order",Settings!$B$16,0)))</x:f>
      </x:c>
      <x:c r="N382" s="73" t="str">
        <x:f>IF(A382="","",G382*M382)</x:f>
      </x:c>
    </x:row>
    <x:row r="383">
      <x:c r="A383" s="42"/>
      <x:c r="B383" s="42"/>
      <x:c r="C383" s="42"/>
      <x:c r="D383" s="42"/>
      <x:c r="E383" s="42"/>
      <x:c r="F383" s="42"/>
      <x:c r="G383" s="70"/>
      <x:c r="H383" s="42"/>
      <x:c r="I383" s="42"/>
      <x:c r="J383" s="42"/>
      <x:c r="K383" s="72"/>
      <x:c r="L383" s="73" t="str">
        <x:f>IF(A383="","",IF(K383&gt;0,K383,IF(J383="Buy Order",SUMIFS('Market Data'!$F$5:$F$504,'Market Data'!$A$5:$A$504,I383,'Market Data'!$B$5:$B$504,E383,'Market Data'!$D$5:$D$504,1),SUMIFS('Market Data'!$E$5:$E$504,'Market Data'!$A$5:$A$504,I383,'Market Data'!$B$5:$B$504,E383,'Market Data'!$D$5:$D$504,1))))</x:f>
      </x:c>
      <x:c r="M383" s="73" t="str">
        <x:f>IF(A383="","",L383*(1+IF(J383="Buy Order",Settings!$B$16,0)))</x:f>
      </x:c>
      <x:c r="N383" s="73" t="str">
        <x:f>IF(A383="","",G383*M383)</x:f>
      </x:c>
    </x:row>
    <x:row r="384">
      <x:c r="A384" s="42"/>
      <x:c r="B384" s="42"/>
      <x:c r="C384" s="42"/>
      <x:c r="D384" s="42"/>
      <x:c r="E384" s="42"/>
      <x:c r="F384" s="42"/>
      <x:c r="G384" s="70"/>
      <x:c r="H384" s="42"/>
      <x:c r="I384" s="42"/>
      <x:c r="J384" s="42"/>
      <x:c r="K384" s="72"/>
      <x:c r="L384" s="73" t="str">
        <x:f>IF(A384="","",IF(K384&gt;0,K384,IF(J384="Buy Order",SUMIFS('Market Data'!$F$5:$F$504,'Market Data'!$A$5:$A$504,I384,'Market Data'!$B$5:$B$504,E384,'Market Data'!$D$5:$D$504,1),SUMIFS('Market Data'!$E$5:$E$504,'Market Data'!$A$5:$A$504,I384,'Market Data'!$B$5:$B$504,E384,'Market Data'!$D$5:$D$504,1))))</x:f>
      </x:c>
      <x:c r="M384" s="73" t="str">
        <x:f>IF(A384="","",L384*(1+IF(J384="Buy Order",Settings!$B$16,0)))</x:f>
      </x:c>
      <x:c r="N384" s="73" t="str">
        <x:f>IF(A384="","",G384*M384)</x:f>
      </x:c>
    </x:row>
    <x:row r="385">
      <x:c r="A385" s="42"/>
      <x:c r="B385" s="42"/>
      <x:c r="C385" s="42"/>
      <x:c r="D385" s="42"/>
      <x:c r="E385" s="42"/>
      <x:c r="F385" s="42"/>
      <x:c r="G385" s="70"/>
      <x:c r="H385" s="42"/>
      <x:c r="I385" s="42"/>
      <x:c r="J385" s="42"/>
      <x:c r="K385" s="72"/>
      <x:c r="L385" s="73" t="str">
        <x:f>IF(A385="","",IF(K385&gt;0,K385,IF(J385="Buy Order",SUMIFS('Market Data'!$F$5:$F$504,'Market Data'!$A$5:$A$504,I385,'Market Data'!$B$5:$B$504,E385,'Market Data'!$D$5:$D$504,1),SUMIFS('Market Data'!$E$5:$E$504,'Market Data'!$A$5:$A$504,I385,'Market Data'!$B$5:$B$504,E385,'Market Data'!$D$5:$D$504,1))))</x:f>
      </x:c>
      <x:c r="M385" s="73" t="str">
        <x:f>IF(A385="","",L385*(1+IF(J385="Buy Order",Settings!$B$16,0)))</x:f>
      </x:c>
      <x:c r="N385" s="73" t="str">
        <x:f>IF(A385="","",G385*M385)</x:f>
      </x:c>
    </x:row>
    <x:row r="386">
      <x:c r="A386" s="42"/>
      <x:c r="B386" s="42"/>
      <x:c r="C386" s="42"/>
      <x:c r="D386" s="42"/>
      <x:c r="E386" s="42"/>
      <x:c r="F386" s="42"/>
      <x:c r="G386" s="70"/>
      <x:c r="H386" s="42"/>
      <x:c r="I386" s="42"/>
      <x:c r="J386" s="42"/>
      <x:c r="K386" s="72"/>
      <x:c r="L386" s="73" t="str">
        <x:f>IF(A386="","",IF(K386&gt;0,K386,IF(J386="Buy Order",SUMIFS('Market Data'!$F$5:$F$504,'Market Data'!$A$5:$A$504,I386,'Market Data'!$B$5:$B$504,E386,'Market Data'!$D$5:$D$504,1),SUMIFS('Market Data'!$E$5:$E$504,'Market Data'!$A$5:$A$504,I386,'Market Data'!$B$5:$B$504,E386,'Market Data'!$D$5:$D$504,1))))</x:f>
      </x:c>
      <x:c r="M386" s="73" t="str">
        <x:f>IF(A386="","",L386*(1+IF(J386="Buy Order",Settings!$B$16,0)))</x:f>
      </x:c>
      <x:c r="N386" s="73" t="str">
        <x:f>IF(A386="","",G386*M386)</x:f>
      </x:c>
    </x:row>
    <x:row r="387">
      <x:c r="A387" s="42"/>
      <x:c r="B387" s="42"/>
      <x:c r="C387" s="42"/>
      <x:c r="D387" s="42"/>
      <x:c r="E387" s="42"/>
      <x:c r="F387" s="42"/>
      <x:c r="G387" s="70"/>
      <x:c r="H387" s="42"/>
      <x:c r="I387" s="42"/>
      <x:c r="J387" s="42"/>
      <x:c r="K387" s="72"/>
      <x:c r="L387" s="73" t="str">
        <x:f>IF(A387="","",IF(K387&gt;0,K387,IF(J387="Buy Order",SUMIFS('Market Data'!$F$5:$F$504,'Market Data'!$A$5:$A$504,I387,'Market Data'!$B$5:$B$504,E387,'Market Data'!$D$5:$D$504,1),SUMIFS('Market Data'!$E$5:$E$504,'Market Data'!$A$5:$A$504,I387,'Market Data'!$B$5:$B$504,E387,'Market Data'!$D$5:$D$504,1))))</x:f>
      </x:c>
      <x:c r="M387" s="73" t="str">
        <x:f>IF(A387="","",L387*(1+IF(J387="Buy Order",Settings!$B$16,0)))</x:f>
      </x:c>
      <x:c r="N387" s="73" t="str">
        <x:f>IF(A387="","",G387*M387)</x:f>
      </x:c>
    </x:row>
    <x:row r="388">
      <x:c r="A388" s="42"/>
      <x:c r="B388" s="42"/>
      <x:c r="C388" s="42"/>
      <x:c r="D388" s="42"/>
      <x:c r="E388" s="42"/>
      <x:c r="F388" s="42"/>
      <x:c r="G388" s="70"/>
      <x:c r="H388" s="42"/>
      <x:c r="I388" s="42"/>
      <x:c r="J388" s="42"/>
      <x:c r="K388" s="72"/>
      <x:c r="L388" s="73" t="str">
        <x:f>IF(A388="","",IF(K388&gt;0,K388,IF(J388="Buy Order",SUMIFS('Market Data'!$F$5:$F$504,'Market Data'!$A$5:$A$504,I388,'Market Data'!$B$5:$B$504,E388,'Market Data'!$D$5:$D$504,1),SUMIFS('Market Data'!$E$5:$E$504,'Market Data'!$A$5:$A$504,I388,'Market Data'!$B$5:$B$504,E388,'Market Data'!$D$5:$D$504,1))))</x:f>
      </x:c>
      <x:c r="M388" s="73" t="str">
        <x:f>IF(A388="","",L388*(1+IF(J388="Buy Order",Settings!$B$16,0)))</x:f>
      </x:c>
      <x:c r="N388" s="73" t="str">
        <x:f>IF(A388="","",G388*M388)</x:f>
      </x:c>
    </x:row>
    <x:row r="389">
      <x:c r="A389" s="42"/>
      <x:c r="B389" s="42"/>
      <x:c r="C389" s="42"/>
      <x:c r="D389" s="42"/>
      <x:c r="E389" s="42"/>
      <x:c r="F389" s="42"/>
      <x:c r="G389" s="70"/>
      <x:c r="H389" s="42"/>
      <x:c r="I389" s="42"/>
      <x:c r="J389" s="42"/>
      <x:c r="K389" s="72"/>
      <x:c r="L389" s="73" t="str">
        <x:f>IF(A389="","",IF(K389&gt;0,K389,IF(J389="Buy Order",SUMIFS('Market Data'!$F$5:$F$504,'Market Data'!$A$5:$A$504,I389,'Market Data'!$B$5:$B$504,E389,'Market Data'!$D$5:$D$504,1),SUMIFS('Market Data'!$E$5:$E$504,'Market Data'!$A$5:$A$504,I389,'Market Data'!$B$5:$B$504,E389,'Market Data'!$D$5:$D$504,1))))</x:f>
      </x:c>
      <x:c r="M389" s="73" t="str">
        <x:f>IF(A389="","",L389*(1+IF(J389="Buy Order",Settings!$B$16,0)))</x:f>
      </x:c>
      <x:c r="N389" s="73" t="str">
        <x:f>IF(A389="","",G389*M389)</x:f>
      </x:c>
    </x:row>
    <x:row r="390">
      <x:c r="A390" s="42"/>
      <x:c r="B390" s="42"/>
      <x:c r="C390" s="42"/>
      <x:c r="D390" s="42"/>
      <x:c r="E390" s="42"/>
      <x:c r="F390" s="42"/>
      <x:c r="G390" s="70"/>
      <x:c r="H390" s="42"/>
      <x:c r="I390" s="42"/>
      <x:c r="J390" s="42"/>
      <x:c r="K390" s="72"/>
      <x:c r="L390" s="73" t="str">
        <x:f>IF(A390="","",IF(K390&gt;0,K390,IF(J390="Buy Order",SUMIFS('Market Data'!$F$5:$F$504,'Market Data'!$A$5:$A$504,I390,'Market Data'!$B$5:$B$504,E390,'Market Data'!$D$5:$D$504,1),SUMIFS('Market Data'!$E$5:$E$504,'Market Data'!$A$5:$A$504,I390,'Market Data'!$B$5:$B$504,E390,'Market Data'!$D$5:$D$504,1))))</x:f>
      </x:c>
      <x:c r="M390" s="73" t="str">
        <x:f>IF(A390="","",L390*(1+IF(J390="Buy Order",Settings!$B$16,0)))</x:f>
      </x:c>
      <x:c r="N390" s="73" t="str">
        <x:f>IF(A390="","",G390*M390)</x:f>
      </x:c>
    </x:row>
    <x:row r="391">
      <x:c r="A391" s="42"/>
      <x:c r="B391" s="42"/>
      <x:c r="C391" s="42"/>
      <x:c r="D391" s="42"/>
      <x:c r="E391" s="42"/>
      <x:c r="F391" s="42"/>
      <x:c r="G391" s="70"/>
      <x:c r="H391" s="42"/>
      <x:c r="I391" s="42"/>
      <x:c r="J391" s="42"/>
      <x:c r="K391" s="72"/>
      <x:c r="L391" s="73" t="str">
        <x:f>IF(A391="","",IF(K391&gt;0,K391,IF(J391="Buy Order",SUMIFS('Market Data'!$F$5:$F$504,'Market Data'!$A$5:$A$504,I391,'Market Data'!$B$5:$B$504,E391,'Market Data'!$D$5:$D$504,1),SUMIFS('Market Data'!$E$5:$E$504,'Market Data'!$A$5:$A$504,I391,'Market Data'!$B$5:$B$504,E391,'Market Data'!$D$5:$D$504,1))))</x:f>
      </x:c>
      <x:c r="M391" s="73" t="str">
        <x:f>IF(A391="","",L391*(1+IF(J391="Buy Order",Settings!$B$16,0)))</x:f>
      </x:c>
      <x:c r="N391" s="73" t="str">
        <x:f>IF(A391="","",G391*M391)</x:f>
      </x:c>
    </x:row>
    <x:row r="392">
      <x:c r="A392" s="42"/>
      <x:c r="B392" s="42"/>
      <x:c r="C392" s="42"/>
      <x:c r="D392" s="42"/>
      <x:c r="E392" s="42"/>
      <x:c r="F392" s="42"/>
      <x:c r="G392" s="70"/>
      <x:c r="H392" s="42"/>
      <x:c r="I392" s="42"/>
      <x:c r="J392" s="42"/>
      <x:c r="K392" s="72"/>
      <x:c r="L392" s="73" t="str">
        <x:f>IF(A392="","",IF(K392&gt;0,K392,IF(J392="Buy Order",SUMIFS('Market Data'!$F$5:$F$504,'Market Data'!$A$5:$A$504,I392,'Market Data'!$B$5:$B$504,E392,'Market Data'!$D$5:$D$504,1),SUMIFS('Market Data'!$E$5:$E$504,'Market Data'!$A$5:$A$504,I392,'Market Data'!$B$5:$B$504,E392,'Market Data'!$D$5:$D$504,1))))</x:f>
      </x:c>
      <x:c r="M392" s="73" t="str">
        <x:f>IF(A392="","",L392*(1+IF(J392="Buy Order",Settings!$B$16,0)))</x:f>
      </x:c>
      <x:c r="N392" s="73" t="str">
        <x:f>IF(A392="","",G392*M392)</x:f>
      </x:c>
    </x:row>
    <x:row r="393">
      <x:c r="A393" s="42"/>
      <x:c r="B393" s="42"/>
      <x:c r="C393" s="42"/>
      <x:c r="D393" s="42"/>
      <x:c r="E393" s="42"/>
      <x:c r="F393" s="42"/>
      <x:c r="G393" s="70"/>
      <x:c r="H393" s="42"/>
      <x:c r="I393" s="42"/>
      <x:c r="J393" s="42"/>
      <x:c r="K393" s="72"/>
      <x:c r="L393" s="73" t="str">
        <x:f>IF(A393="","",IF(K393&gt;0,K393,IF(J393="Buy Order",SUMIFS('Market Data'!$F$5:$F$504,'Market Data'!$A$5:$A$504,I393,'Market Data'!$B$5:$B$504,E393,'Market Data'!$D$5:$D$504,1),SUMIFS('Market Data'!$E$5:$E$504,'Market Data'!$A$5:$A$504,I393,'Market Data'!$B$5:$B$504,E393,'Market Data'!$D$5:$D$504,1))))</x:f>
      </x:c>
      <x:c r="M393" s="73" t="str">
        <x:f>IF(A393="","",L393*(1+IF(J393="Buy Order",Settings!$B$16,0)))</x:f>
      </x:c>
      <x:c r="N393" s="73" t="str">
        <x:f>IF(A393="","",G393*M393)</x:f>
      </x:c>
    </x:row>
    <x:row r="394">
      <x:c r="A394" s="42"/>
      <x:c r="B394" s="42"/>
      <x:c r="C394" s="42"/>
      <x:c r="D394" s="42"/>
      <x:c r="E394" s="42"/>
      <x:c r="F394" s="42"/>
      <x:c r="G394" s="70"/>
      <x:c r="H394" s="42"/>
      <x:c r="I394" s="42"/>
      <x:c r="J394" s="42"/>
      <x:c r="K394" s="72"/>
      <x:c r="L394" s="73" t="str">
        <x:f>IF(A394="","",IF(K394&gt;0,K394,IF(J394="Buy Order",SUMIFS('Market Data'!$F$5:$F$504,'Market Data'!$A$5:$A$504,I394,'Market Data'!$B$5:$B$504,E394,'Market Data'!$D$5:$D$504,1),SUMIFS('Market Data'!$E$5:$E$504,'Market Data'!$A$5:$A$504,I394,'Market Data'!$B$5:$B$504,E394,'Market Data'!$D$5:$D$504,1))))</x:f>
      </x:c>
      <x:c r="M394" s="73" t="str">
        <x:f>IF(A394="","",L394*(1+IF(J394="Buy Order",Settings!$B$16,0)))</x:f>
      </x:c>
      <x:c r="N394" s="73" t="str">
        <x:f>IF(A394="","",G394*M394)</x:f>
      </x:c>
    </x:row>
    <x:row r="395">
      <x:c r="A395" s="42"/>
      <x:c r="B395" s="42"/>
      <x:c r="C395" s="42"/>
      <x:c r="D395" s="42"/>
      <x:c r="E395" s="42"/>
      <x:c r="F395" s="42"/>
      <x:c r="G395" s="70"/>
      <x:c r="H395" s="42"/>
      <x:c r="I395" s="42"/>
      <x:c r="J395" s="42"/>
      <x:c r="K395" s="72"/>
      <x:c r="L395" s="73" t="str">
        <x:f>IF(A395="","",IF(K395&gt;0,K395,IF(J395="Buy Order",SUMIFS('Market Data'!$F$5:$F$504,'Market Data'!$A$5:$A$504,I395,'Market Data'!$B$5:$B$504,E395,'Market Data'!$D$5:$D$504,1),SUMIFS('Market Data'!$E$5:$E$504,'Market Data'!$A$5:$A$504,I395,'Market Data'!$B$5:$B$504,E395,'Market Data'!$D$5:$D$504,1))))</x:f>
      </x:c>
      <x:c r="M395" s="73" t="str">
        <x:f>IF(A395="","",L395*(1+IF(J395="Buy Order",Settings!$B$16,0)))</x:f>
      </x:c>
      <x:c r="N395" s="73" t="str">
        <x:f>IF(A395="","",G395*M395)</x:f>
      </x:c>
    </x:row>
    <x:row r="396">
      <x:c r="A396" s="42"/>
      <x:c r="B396" s="42"/>
      <x:c r="C396" s="42"/>
      <x:c r="D396" s="42"/>
      <x:c r="E396" s="42"/>
      <x:c r="F396" s="42"/>
      <x:c r="G396" s="70"/>
      <x:c r="H396" s="42"/>
      <x:c r="I396" s="42"/>
      <x:c r="J396" s="42"/>
      <x:c r="K396" s="72"/>
      <x:c r="L396" s="73" t="str">
        <x:f>IF(A396="","",IF(K396&gt;0,K396,IF(J396="Buy Order",SUMIFS('Market Data'!$F$5:$F$504,'Market Data'!$A$5:$A$504,I396,'Market Data'!$B$5:$B$504,E396,'Market Data'!$D$5:$D$504,1),SUMIFS('Market Data'!$E$5:$E$504,'Market Data'!$A$5:$A$504,I396,'Market Data'!$B$5:$B$504,E396,'Market Data'!$D$5:$D$504,1))))</x:f>
      </x:c>
      <x:c r="M396" s="73" t="str">
        <x:f>IF(A396="","",L396*(1+IF(J396="Buy Order",Settings!$B$16,0)))</x:f>
      </x:c>
      <x:c r="N396" s="73" t="str">
        <x:f>IF(A396="","",G396*M396)</x:f>
      </x:c>
    </x:row>
    <x:row r="397">
      <x:c r="A397" s="42"/>
      <x:c r="B397" s="42"/>
      <x:c r="C397" s="42"/>
      <x:c r="D397" s="42"/>
      <x:c r="E397" s="42"/>
      <x:c r="F397" s="42"/>
      <x:c r="G397" s="70"/>
      <x:c r="H397" s="42"/>
      <x:c r="I397" s="42"/>
      <x:c r="J397" s="42"/>
      <x:c r="K397" s="72"/>
      <x:c r="L397" s="73" t="str">
        <x:f>IF(A397="","",IF(K397&gt;0,K397,IF(J397="Buy Order",SUMIFS('Market Data'!$F$5:$F$504,'Market Data'!$A$5:$A$504,I397,'Market Data'!$B$5:$B$504,E397,'Market Data'!$D$5:$D$504,1),SUMIFS('Market Data'!$E$5:$E$504,'Market Data'!$A$5:$A$504,I397,'Market Data'!$B$5:$B$504,E397,'Market Data'!$D$5:$D$504,1))))</x:f>
      </x:c>
      <x:c r="M397" s="73" t="str">
        <x:f>IF(A397="","",L397*(1+IF(J397="Buy Order",Settings!$B$16,0)))</x:f>
      </x:c>
      <x:c r="N397" s="73" t="str">
        <x:f>IF(A397="","",G397*M397)</x:f>
      </x:c>
    </x:row>
    <x:row r="398">
      <x:c r="A398" s="42"/>
      <x:c r="B398" s="42"/>
      <x:c r="C398" s="42"/>
      <x:c r="D398" s="42"/>
      <x:c r="E398" s="42"/>
      <x:c r="F398" s="42"/>
      <x:c r="G398" s="70"/>
      <x:c r="H398" s="42"/>
      <x:c r="I398" s="42"/>
      <x:c r="J398" s="42"/>
      <x:c r="K398" s="72"/>
      <x:c r="L398" s="73" t="str">
        <x:f>IF(A398="","",IF(K398&gt;0,K398,IF(J398="Buy Order",SUMIFS('Market Data'!$F$5:$F$504,'Market Data'!$A$5:$A$504,I398,'Market Data'!$B$5:$B$504,E398,'Market Data'!$D$5:$D$504,1),SUMIFS('Market Data'!$E$5:$E$504,'Market Data'!$A$5:$A$504,I398,'Market Data'!$B$5:$B$504,E398,'Market Data'!$D$5:$D$504,1))))</x:f>
      </x:c>
      <x:c r="M398" s="73" t="str">
        <x:f>IF(A398="","",L398*(1+IF(J398="Buy Order",Settings!$B$16,0)))</x:f>
      </x:c>
      <x:c r="N398" s="73" t="str">
        <x:f>IF(A398="","",G398*M398)</x:f>
      </x:c>
    </x:row>
    <x:row r="399">
      <x:c r="A399" s="42"/>
      <x:c r="B399" s="42"/>
      <x:c r="C399" s="42"/>
      <x:c r="D399" s="42"/>
      <x:c r="E399" s="42"/>
      <x:c r="F399" s="42"/>
      <x:c r="G399" s="70"/>
      <x:c r="H399" s="42"/>
      <x:c r="I399" s="42"/>
      <x:c r="J399" s="42"/>
      <x:c r="K399" s="72"/>
      <x:c r="L399" s="73" t="str">
        <x:f>IF(A399="","",IF(K399&gt;0,K399,IF(J399="Buy Order",SUMIFS('Market Data'!$F$5:$F$504,'Market Data'!$A$5:$A$504,I399,'Market Data'!$B$5:$B$504,E399,'Market Data'!$D$5:$D$504,1),SUMIFS('Market Data'!$E$5:$E$504,'Market Data'!$A$5:$A$504,I399,'Market Data'!$B$5:$B$504,E399,'Market Data'!$D$5:$D$504,1))))</x:f>
      </x:c>
      <x:c r="M399" s="73" t="str">
        <x:f>IF(A399="","",L399*(1+IF(J399="Buy Order",Settings!$B$16,0)))</x:f>
      </x:c>
      <x:c r="N399" s="73" t="str">
        <x:f>IF(A399="","",G399*M399)</x:f>
      </x:c>
    </x:row>
    <x:row r="400">
      <x:c r="A400" s="42"/>
      <x:c r="B400" s="42"/>
      <x:c r="C400" s="42"/>
      <x:c r="D400" s="42"/>
      <x:c r="E400" s="42"/>
      <x:c r="F400" s="42"/>
      <x:c r="G400" s="70"/>
      <x:c r="H400" s="42"/>
      <x:c r="I400" s="42"/>
      <x:c r="J400" s="42"/>
      <x:c r="K400" s="72"/>
      <x:c r="L400" s="73" t="str">
        <x:f>IF(A400="","",IF(K400&gt;0,K400,IF(J400="Buy Order",SUMIFS('Market Data'!$F$5:$F$504,'Market Data'!$A$5:$A$504,I400,'Market Data'!$B$5:$B$504,E400,'Market Data'!$D$5:$D$504,1),SUMIFS('Market Data'!$E$5:$E$504,'Market Data'!$A$5:$A$504,I400,'Market Data'!$B$5:$B$504,E400,'Market Data'!$D$5:$D$504,1))))</x:f>
      </x:c>
      <x:c r="M400" s="73" t="str">
        <x:f>IF(A400="","",L400*(1+IF(J400="Buy Order",Settings!$B$16,0)))</x:f>
      </x:c>
      <x:c r="N400" s="73" t="str">
        <x:f>IF(A400="","",G400*M400)</x:f>
      </x:c>
    </x:row>
    <x:row r="401">
      <x:c r="A401" s="42"/>
      <x:c r="B401" s="42"/>
      <x:c r="C401" s="42"/>
      <x:c r="D401" s="42"/>
      <x:c r="E401" s="42"/>
      <x:c r="F401" s="42"/>
      <x:c r="G401" s="70"/>
      <x:c r="H401" s="42"/>
      <x:c r="I401" s="42"/>
      <x:c r="J401" s="42"/>
      <x:c r="K401" s="72"/>
      <x:c r="L401" s="73" t="str">
        <x:f>IF(A401="","",IF(K401&gt;0,K401,IF(J401="Buy Order",SUMIFS('Market Data'!$F$5:$F$504,'Market Data'!$A$5:$A$504,I401,'Market Data'!$B$5:$B$504,E401,'Market Data'!$D$5:$D$504,1),SUMIFS('Market Data'!$E$5:$E$504,'Market Data'!$A$5:$A$504,I401,'Market Data'!$B$5:$B$504,E401,'Market Data'!$D$5:$D$504,1))))</x:f>
      </x:c>
      <x:c r="M401" s="73" t="str">
        <x:f>IF(A401="","",L401*(1+IF(J401="Buy Order",Settings!$B$16,0)))</x:f>
      </x:c>
      <x:c r="N401" s="73" t="str">
        <x:f>IF(A401="","",G401*M401)</x:f>
      </x:c>
    </x:row>
    <x:row r="402">
      <x:c r="A402" s="42"/>
      <x:c r="B402" s="42"/>
      <x:c r="C402" s="42"/>
      <x:c r="D402" s="42"/>
      <x:c r="E402" s="42"/>
      <x:c r="F402" s="42"/>
      <x:c r="G402" s="70"/>
      <x:c r="H402" s="42"/>
      <x:c r="I402" s="42"/>
      <x:c r="J402" s="42"/>
      <x:c r="K402" s="72"/>
      <x:c r="L402" s="73" t="str">
        <x:f>IF(A402="","",IF(K402&gt;0,K402,IF(J402="Buy Order",SUMIFS('Market Data'!$F$5:$F$504,'Market Data'!$A$5:$A$504,I402,'Market Data'!$B$5:$B$504,E402,'Market Data'!$D$5:$D$504,1),SUMIFS('Market Data'!$E$5:$E$504,'Market Data'!$A$5:$A$504,I402,'Market Data'!$B$5:$B$504,E402,'Market Data'!$D$5:$D$504,1))))</x:f>
      </x:c>
      <x:c r="M402" s="73" t="str">
        <x:f>IF(A402="","",L402*(1+IF(J402="Buy Order",Settings!$B$16,0)))</x:f>
      </x:c>
      <x:c r="N402" s="73" t="str">
        <x:f>IF(A402="","",G402*M402)</x:f>
      </x:c>
    </x:row>
    <x:row r="403">
      <x:c r="A403" s="42"/>
      <x:c r="B403" s="42"/>
      <x:c r="C403" s="42"/>
      <x:c r="D403" s="42"/>
      <x:c r="E403" s="42"/>
      <x:c r="F403" s="42"/>
      <x:c r="G403" s="70"/>
      <x:c r="H403" s="42"/>
      <x:c r="I403" s="42"/>
      <x:c r="J403" s="42"/>
      <x:c r="K403" s="72"/>
      <x:c r="L403" s="73" t="str">
        <x:f>IF(A403="","",IF(K403&gt;0,K403,IF(J403="Buy Order",SUMIFS('Market Data'!$F$5:$F$504,'Market Data'!$A$5:$A$504,I403,'Market Data'!$B$5:$B$504,E403,'Market Data'!$D$5:$D$504,1),SUMIFS('Market Data'!$E$5:$E$504,'Market Data'!$A$5:$A$504,I403,'Market Data'!$B$5:$B$504,E403,'Market Data'!$D$5:$D$504,1))))</x:f>
      </x:c>
      <x:c r="M403" s="73" t="str">
        <x:f>IF(A403="","",L403*(1+IF(J403="Buy Order",Settings!$B$16,0)))</x:f>
      </x:c>
      <x:c r="N403" s="73" t="str">
        <x:f>IF(A403="","",G403*M403)</x:f>
      </x:c>
    </x:row>
    <x:row r="404">
      <x:c r="A404" s="42"/>
      <x:c r="B404" s="42"/>
      <x:c r="C404" s="42"/>
      <x:c r="D404" s="42"/>
      <x:c r="E404" s="42"/>
      <x:c r="F404" s="42"/>
      <x:c r="G404" s="70"/>
      <x:c r="H404" s="42"/>
      <x:c r="I404" s="42"/>
      <x:c r="J404" s="42"/>
      <x:c r="K404" s="72"/>
      <x:c r="L404" s="73" t="str">
        <x:f>IF(A404="","",IF(K404&gt;0,K404,IF(J404="Buy Order",SUMIFS('Market Data'!$F$5:$F$504,'Market Data'!$A$5:$A$504,I404,'Market Data'!$B$5:$B$504,E404,'Market Data'!$D$5:$D$504,1),SUMIFS('Market Data'!$E$5:$E$504,'Market Data'!$A$5:$A$504,I404,'Market Data'!$B$5:$B$504,E404,'Market Data'!$D$5:$D$504,1))))</x:f>
      </x:c>
      <x:c r="M404" s="73" t="str">
        <x:f>IF(A404="","",L404*(1+IF(J404="Buy Order",Settings!$B$16,0)))</x:f>
      </x:c>
      <x:c r="N404" s="73" t="str">
        <x:f>IF(A404="","",G404*M404)</x:f>
      </x:c>
    </x:row>
    <x:row r="405">
      <x:c r="A405" s="42"/>
      <x:c r="B405" s="42"/>
      <x:c r="C405" s="42"/>
      <x:c r="D405" s="42"/>
      <x:c r="E405" s="42"/>
      <x:c r="F405" s="42"/>
      <x:c r="G405" s="70"/>
      <x:c r="H405" s="42"/>
      <x:c r="I405" s="42"/>
      <x:c r="J405" s="42"/>
      <x:c r="K405" s="72"/>
      <x:c r="L405" s="73" t="str">
        <x:f>IF(A405="","",IF(K405&gt;0,K405,IF(J405="Buy Order",SUMIFS('Market Data'!$F$5:$F$504,'Market Data'!$A$5:$A$504,I405,'Market Data'!$B$5:$B$504,E405,'Market Data'!$D$5:$D$504,1),SUMIFS('Market Data'!$E$5:$E$504,'Market Data'!$A$5:$A$504,I405,'Market Data'!$B$5:$B$504,E405,'Market Data'!$D$5:$D$504,1))))</x:f>
      </x:c>
      <x:c r="M405" s="73" t="str">
        <x:f>IF(A405="","",L405*(1+IF(J405="Buy Order",Settings!$B$16,0)))</x:f>
      </x:c>
      <x:c r="N405" s="73" t="str">
        <x:f>IF(A405="","",G405*M405)</x:f>
      </x:c>
    </x:row>
    <x:row r="406">
      <x:c r="A406" s="42"/>
      <x:c r="B406" s="42"/>
      <x:c r="C406" s="42"/>
      <x:c r="D406" s="42"/>
      <x:c r="E406" s="42"/>
      <x:c r="F406" s="42"/>
      <x:c r="G406" s="70"/>
      <x:c r="H406" s="42"/>
      <x:c r="I406" s="42"/>
      <x:c r="J406" s="42"/>
      <x:c r="K406" s="72"/>
      <x:c r="L406" s="73" t="str">
        <x:f>IF(A406="","",IF(K406&gt;0,K406,IF(J406="Buy Order",SUMIFS('Market Data'!$F$5:$F$504,'Market Data'!$A$5:$A$504,I406,'Market Data'!$B$5:$B$504,E406,'Market Data'!$D$5:$D$504,1),SUMIFS('Market Data'!$E$5:$E$504,'Market Data'!$A$5:$A$504,I406,'Market Data'!$B$5:$B$504,E406,'Market Data'!$D$5:$D$504,1))))</x:f>
      </x:c>
      <x:c r="M406" s="73" t="str">
        <x:f>IF(A406="","",L406*(1+IF(J406="Buy Order",Settings!$B$16,0)))</x:f>
      </x:c>
      <x:c r="N406" s="73" t="str">
        <x:f>IF(A406="","",G406*M406)</x:f>
      </x:c>
    </x:row>
    <x:row r="407">
      <x:c r="A407" s="42"/>
      <x:c r="B407" s="42"/>
      <x:c r="C407" s="42"/>
      <x:c r="D407" s="42"/>
      <x:c r="E407" s="42"/>
      <x:c r="F407" s="42"/>
      <x:c r="G407" s="70"/>
      <x:c r="H407" s="42"/>
      <x:c r="I407" s="42"/>
      <x:c r="J407" s="42"/>
      <x:c r="K407" s="72"/>
      <x:c r="L407" s="73" t="str">
        <x:f>IF(A407="","",IF(K407&gt;0,K407,IF(J407="Buy Order",SUMIFS('Market Data'!$F$5:$F$504,'Market Data'!$A$5:$A$504,I407,'Market Data'!$B$5:$B$504,E407,'Market Data'!$D$5:$D$504,1),SUMIFS('Market Data'!$E$5:$E$504,'Market Data'!$A$5:$A$504,I407,'Market Data'!$B$5:$B$504,E407,'Market Data'!$D$5:$D$504,1))))</x:f>
      </x:c>
      <x:c r="M407" s="73" t="str">
        <x:f>IF(A407="","",L407*(1+IF(J407="Buy Order",Settings!$B$16,0)))</x:f>
      </x:c>
      <x:c r="N407" s="73" t="str">
        <x:f>IF(A407="","",G407*M407)</x:f>
      </x:c>
    </x:row>
    <x:row r="408">
      <x:c r="A408" s="42"/>
      <x:c r="B408" s="42"/>
      <x:c r="C408" s="42"/>
      <x:c r="D408" s="42"/>
      <x:c r="E408" s="42"/>
      <x:c r="F408" s="42"/>
      <x:c r="G408" s="70"/>
      <x:c r="H408" s="42"/>
      <x:c r="I408" s="42"/>
      <x:c r="J408" s="42"/>
      <x:c r="K408" s="72"/>
      <x:c r="L408" s="73" t="str">
        <x:f>IF(A408="","",IF(K408&gt;0,K408,IF(J408="Buy Order",SUMIFS('Market Data'!$F$5:$F$504,'Market Data'!$A$5:$A$504,I408,'Market Data'!$B$5:$B$504,E408,'Market Data'!$D$5:$D$504,1),SUMIFS('Market Data'!$E$5:$E$504,'Market Data'!$A$5:$A$504,I408,'Market Data'!$B$5:$B$504,E408,'Market Data'!$D$5:$D$504,1))))</x:f>
      </x:c>
      <x:c r="M408" s="73" t="str">
        <x:f>IF(A408="","",L408*(1+IF(J408="Buy Order",Settings!$B$16,0)))</x:f>
      </x:c>
      <x:c r="N408" s="73" t="str">
        <x:f>IF(A408="","",G408*M408)</x:f>
      </x:c>
    </x:row>
    <x:row r="409">
      <x:c r="A409" s="42"/>
      <x:c r="B409" s="42"/>
      <x:c r="C409" s="42"/>
      <x:c r="D409" s="42"/>
      <x:c r="E409" s="42"/>
      <x:c r="F409" s="42"/>
      <x:c r="G409" s="70"/>
      <x:c r="H409" s="42"/>
      <x:c r="I409" s="42"/>
      <x:c r="J409" s="42"/>
      <x:c r="K409" s="72"/>
      <x:c r="L409" s="73" t="str">
        <x:f>IF(A409="","",IF(K409&gt;0,K409,IF(J409="Buy Order",SUMIFS('Market Data'!$F$5:$F$504,'Market Data'!$A$5:$A$504,I409,'Market Data'!$B$5:$B$504,E409,'Market Data'!$D$5:$D$504,1),SUMIFS('Market Data'!$E$5:$E$504,'Market Data'!$A$5:$A$504,I409,'Market Data'!$B$5:$B$504,E409,'Market Data'!$D$5:$D$504,1))))</x:f>
      </x:c>
      <x:c r="M409" s="73" t="str">
        <x:f>IF(A409="","",L409*(1+IF(J409="Buy Order",Settings!$B$16,0)))</x:f>
      </x:c>
      <x:c r="N409" s="73" t="str">
        <x:f>IF(A409="","",G409*M409)</x:f>
      </x:c>
    </x:row>
    <x:row r="410">
      <x:c r="A410" s="42"/>
      <x:c r="B410" s="42"/>
      <x:c r="C410" s="42"/>
      <x:c r="D410" s="42"/>
      <x:c r="E410" s="42"/>
      <x:c r="F410" s="42"/>
      <x:c r="G410" s="70"/>
      <x:c r="H410" s="42"/>
      <x:c r="I410" s="42"/>
      <x:c r="J410" s="42"/>
      <x:c r="K410" s="72"/>
      <x:c r="L410" s="73" t="str">
        <x:f>IF(A410="","",IF(K410&gt;0,K410,IF(J410="Buy Order",SUMIFS('Market Data'!$F$5:$F$504,'Market Data'!$A$5:$A$504,I410,'Market Data'!$B$5:$B$504,E410,'Market Data'!$D$5:$D$504,1),SUMIFS('Market Data'!$E$5:$E$504,'Market Data'!$A$5:$A$504,I410,'Market Data'!$B$5:$B$504,E410,'Market Data'!$D$5:$D$504,1))))</x:f>
      </x:c>
      <x:c r="M410" s="73" t="str">
        <x:f>IF(A410="","",L410*(1+IF(J410="Buy Order",Settings!$B$16,0)))</x:f>
      </x:c>
      <x:c r="N410" s="73" t="str">
        <x:f>IF(A410="","",G410*M410)</x:f>
      </x:c>
    </x:row>
    <x:row r="411">
      <x:c r="A411" s="42"/>
      <x:c r="B411" s="42"/>
      <x:c r="C411" s="42"/>
      <x:c r="D411" s="42"/>
      <x:c r="E411" s="42"/>
      <x:c r="F411" s="42"/>
      <x:c r="G411" s="70"/>
      <x:c r="H411" s="42"/>
      <x:c r="I411" s="42"/>
      <x:c r="J411" s="42"/>
      <x:c r="K411" s="72"/>
      <x:c r="L411" s="73" t="str">
        <x:f>IF(A411="","",IF(K411&gt;0,K411,IF(J411="Buy Order",SUMIFS('Market Data'!$F$5:$F$504,'Market Data'!$A$5:$A$504,I411,'Market Data'!$B$5:$B$504,E411,'Market Data'!$D$5:$D$504,1),SUMIFS('Market Data'!$E$5:$E$504,'Market Data'!$A$5:$A$504,I411,'Market Data'!$B$5:$B$504,E411,'Market Data'!$D$5:$D$504,1))))</x:f>
      </x:c>
      <x:c r="M411" s="73" t="str">
        <x:f>IF(A411="","",L411*(1+IF(J411="Buy Order",Settings!$B$16,0)))</x:f>
      </x:c>
      <x:c r="N411" s="73" t="str">
        <x:f>IF(A411="","",G411*M411)</x:f>
      </x:c>
    </x:row>
    <x:row r="412">
      <x:c r="A412" s="42"/>
      <x:c r="B412" s="42"/>
      <x:c r="C412" s="42"/>
      <x:c r="D412" s="42"/>
      <x:c r="E412" s="42"/>
      <x:c r="F412" s="42"/>
      <x:c r="G412" s="70"/>
      <x:c r="H412" s="42"/>
      <x:c r="I412" s="42"/>
      <x:c r="J412" s="42"/>
      <x:c r="K412" s="72"/>
      <x:c r="L412" s="73" t="str">
        <x:f>IF(A412="","",IF(K412&gt;0,K412,IF(J412="Buy Order",SUMIFS('Market Data'!$F$5:$F$504,'Market Data'!$A$5:$A$504,I412,'Market Data'!$B$5:$B$504,E412,'Market Data'!$D$5:$D$504,1),SUMIFS('Market Data'!$E$5:$E$504,'Market Data'!$A$5:$A$504,I412,'Market Data'!$B$5:$B$504,E412,'Market Data'!$D$5:$D$504,1))))</x:f>
      </x:c>
      <x:c r="M412" s="73" t="str">
        <x:f>IF(A412="","",L412*(1+IF(J412="Buy Order",Settings!$B$16,0)))</x:f>
      </x:c>
      <x:c r="N412" s="73" t="str">
        <x:f>IF(A412="","",G412*M412)</x:f>
      </x:c>
    </x:row>
    <x:row r="413">
      <x:c r="A413" s="42"/>
      <x:c r="B413" s="42"/>
      <x:c r="C413" s="42"/>
      <x:c r="D413" s="42"/>
      <x:c r="E413" s="42"/>
      <x:c r="F413" s="42"/>
      <x:c r="G413" s="70"/>
      <x:c r="H413" s="42"/>
      <x:c r="I413" s="42"/>
      <x:c r="J413" s="42"/>
      <x:c r="K413" s="72"/>
      <x:c r="L413" s="73" t="str">
        <x:f>IF(A413="","",IF(K413&gt;0,K413,IF(J413="Buy Order",SUMIFS('Market Data'!$F$5:$F$504,'Market Data'!$A$5:$A$504,I413,'Market Data'!$B$5:$B$504,E413,'Market Data'!$D$5:$D$504,1),SUMIFS('Market Data'!$E$5:$E$504,'Market Data'!$A$5:$A$504,I413,'Market Data'!$B$5:$B$504,E413,'Market Data'!$D$5:$D$504,1))))</x:f>
      </x:c>
      <x:c r="M413" s="73" t="str">
        <x:f>IF(A413="","",L413*(1+IF(J413="Buy Order",Settings!$B$16,0)))</x:f>
      </x:c>
      <x:c r="N413" s="73" t="str">
        <x:f>IF(A413="","",G413*M413)</x:f>
      </x:c>
    </x:row>
    <x:row r="414">
      <x:c r="A414" s="42"/>
      <x:c r="B414" s="42"/>
      <x:c r="C414" s="42"/>
      <x:c r="D414" s="42"/>
      <x:c r="E414" s="42"/>
      <x:c r="F414" s="42"/>
      <x:c r="G414" s="70"/>
      <x:c r="H414" s="42"/>
      <x:c r="I414" s="42"/>
      <x:c r="J414" s="42"/>
      <x:c r="K414" s="72"/>
      <x:c r="L414" s="73" t="str">
        <x:f>IF(A414="","",IF(K414&gt;0,K414,IF(J414="Buy Order",SUMIFS('Market Data'!$F$5:$F$504,'Market Data'!$A$5:$A$504,I414,'Market Data'!$B$5:$B$504,E414,'Market Data'!$D$5:$D$504,1),SUMIFS('Market Data'!$E$5:$E$504,'Market Data'!$A$5:$A$504,I414,'Market Data'!$B$5:$B$504,E414,'Market Data'!$D$5:$D$504,1))))</x:f>
      </x:c>
      <x:c r="M414" s="73" t="str">
        <x:f>IF(A414="","",L414*(1+IF(J414="Buy Order",Settings!$B$16,0)))</x:f>
      </x:c>
      <x:c r="N414" s="73" t="str">
        <x:f>IF(A414="","",G414*M414)</x:f>
      </x:c>
    </x:row>
    <x:row r="415">
      <x:c r="A415" s="42"/>
      <x:c r="B415" s="42"/>
      <x:c r="C415" s="42"/>
      <x:c r="D415" s="42"/>
      <x:c r="E415" s="42"/>
      <x:c r="F415" s="42"/>
      <x:c r="G415" s="70"/>
      <x:c r="H415" s="42"/>
      <x:c r="I415" s="42"/>
      <x:c r="J415" s="42"/>
      <x:c r="K415" s="72"/>
      <x:c r="L415" s="73" t="str">
        <x:f>IF(A415="","",IF(K415&gt;0,K415,IF(J415="Buy Order",SUMIFS('Market Data'!$F$5:$F$504,'Market Data'!$A$5:$A$504,I415,'Market Data'!$B$5:$B$504,E415,'Market Data'!$D$5:$D$504,1),SUMIFS('Market Data'!$E$5:$E$504,'Market Data'!$A$5:$A$504,I415,'Market Data'!$B$5:$B$504,E415,'Market Data'!$D$5:$D$504,1))))</x:f>
      </x:c>
      <x:c r="M415" s="73" t="str">
        <x:f>IF(A415="","",L415*(1+IF(J415="Buy Order",Settings!$B$16,0)))</x:f>
      </x:c>
      <x:c r="N415" s="73" t="str">
        <x:f>IF(A415="","",G415*M415)</x:f>
      </x:c>
    </x:row>
    <x:row r="416">
      <x:c r="A416" s="42"/>
      <x:c r="B416" s="42"/>
      <x:c r="C416" s="42"/>
      <x:c r="D416" s="42"/>
      <x:c r="E416" s="42"/>
      <x:c r="F416" s="42"/>
      <x:c r="G416" s="70"/>
      <x:c r="H416" s="42"/>
      <x:c r="I416" s="42"/>
      <x:c r="J416" s="42"/>
      <x:c r="K416" s="72"/>
      <x:c r="L416" s="73" t="str">
        <x:f>IF(A416="","",IF(K416&gt;0,K416,IF(J416="Buy Order",SUMIFS('Market Data'!$F$5:$F$504,'Market Data'!$A$5:$A$504,I416,'Market Data'!$B$5:$B$504,E416,'Market Data'!$D$5:$D$504,1),SUMIFS('Market Data'!$E$5:$E$504,'Market Data'!$A$5:$A$504,I416,'Market Data'!$B$5:$B$504,E416,'Market Data'!$D$5:$D$504,1))))</x:f>
      </x:c>
      <x:c r="M416" s="73" t="str">
        <x:f>IF(A416="","",L416*(1+IF(J416="Buy Order",Settings!$B$16,0)))</x:f>
      </x:c>
      <x:c r="N416" s="73" t="str">
        <x:f>IF(A416="","",G416*M416)</x:f>
      </x:c>
    </x:row>
    <x:row r="417">
      <x:c r="A417" s="42"/>
      <x:c r="B417" s="42"/>
      <x:c r="C417" s="42"/>
      <x:c r="D417" s="42"/>
      <x:c r="E417" s="42"/>
      <x:c r="F417" s="42"/>
      <x:c r="G417" s="70"/>
      <x:c r="H417" s="42"/>
      <x:c r="I417" s="42"/>
      <x:c r="J417" s="42"/>
      <x:c r="K417" s="72"/>
      <x:c r="L417" s="73" t="str">
        <x:f>IF(A417="","",IF(K417&gt;0,K417,IF(J417="Buy Order",SUMIFS('Market Data'!$F$5:$F$504,'Market Data'!$A$5:$A$504,I417,'Market Data'!$B$5:$B$504,E417,'Market Data'!$D$5:$D$504,1),SUMIFS('Market Data'!$E$5:$E$504,'Market Data'!$A$5:$A$504,I417,'Market Data'!$B$5:$B$504,E417,'Market Data'!$D$5:$D$504,1))))</x:f>
      </x:c>
      <x:c r="M417" s="73" t="str">
        <x:f>IF(A417="","",L417*(1+IF(J417="Buy Order",Settings!$B$16,0)))</x:f>
      </x:c>
      <x:c r="N417" s="73" t="str">
        <x:f>IF(A417="","",G417*M417)</x:f>
      </x:c>
    </x:row>
    <x:row r="418">
      <x:c r="A418" s="42"/>
      <x:c r="B418" s="42"/>
      <x:c r="C418" s="42"/>
      <x:c r="D418" s="42"/>
      <x:c r="E418" s="42"/>
      <x:c r="F418" s="42"/>
      <x:c r="G418" s="70"/>
      <x:c r="H418" s="42"/>
      <x:c r="I418" s="42"/>
      <x:c r="J418" s="42"/>
      <x:c r="K418" s="72"/>
      <x:c r="L418" s="73" t="str">
        <x:f>IF(A418="","",IF(K418&gt;0,K418,IF(J418="Buy Order",SUMIFS('Market Data'!$F$5:$F$504,'Market Data'!$A$5:$A$504,I418,'Market Data'!$B$5:$B$504,E418,'Market Data'!$D$5:$D$504,1),SUMIFS('Market Data'!$E$5:$E$504,'Market Data'!$A$5:$A$504,I418,'Market Data'!$B$5:$B$504,E418,'Market Data'!$D$5:$D$504,1))))</x:f>
      </x:c>
      <x:c r="M418" s="73" t="str">
        <x:f>IF(A418="","",L418*(1+IF(J418="Buy Order",Settings!$B$16,0)))</x:f>
      </x:c>
      <x:c r="N418" s="73" t="str">
        <x:f>IF(A418="","",G418*M418)</x:f>
      </x:c>
    </x:row>
    <x:row r="419">
      <x:c r="A419" s="42"/>
      <x:c r="B419" s="42"/>
      <x:c r="C419" s="42"/>
      <x:c r="D419" s="42"/>
      <x:c r="E419" s="42"/>
      <x:c r="F419" s="42"/>
      <x:c r="G419" s="70"/>
      <x:c r="H419" s="42"/>
      <x:c r="I419" s="42"/>
      <x:c r="J419" s="42"/>
      <x:c r="K419" s="72"/>
      <x:c r="L419" s="73" t="str">
        <x:f>IF(A419="","",IF(K419&gt;0,K419,IF(J419="Buy Order",SUMIFS('Market Data'!$F$5:$F$504,'Market Data'!$A$5:$A$504,I419,'Market Data'!$B$5:$B$504,E419,'Market Data'!$D$5:$D$504,1),SUMIFS('Market Data'!$E$5:$E$504,'Market Data'!$A$5:$A$504,I419,'Market Data'!$B$5:$B$504,E419,'Market Data'!$D$5:$D$504,1))))</x:f>
      </x:c>
      <x:c r="M419" s="73" t="str">
        <x:f>IF(A419="","",L419*(1+IF(J419="Buy Order",Settings!$B$16,0)))</x:f>
      </x:c>
      <x:c r="N419" s="73" t="str">
        <x:f>IF(A419="","",G419*M419)</x:f>
      </x:c>
    </x:row>
    <x:row r="420">
      <x:c r="A420" s="42"/>
      <x:c r="B420" s="42"/>
      <x:c r="C420" s="42"/>
      <x:c r="D420" s="42"/>
      <x:c r="E420" s="42"/>
      <x:c r="F420" s="42"/>
      <x:c r="G420" s="70"/>
      <x:c r="H420" s="42"/>
      <x:c r="I420" s="42"/>
      <x:c r="J420" s="42"/>
      <x:c r="K420" s="72"/>
      <x:c r="L420" s="73" t="str">
        <x:f>IF(A420="","",IF(K420&gt;0,K420,IF(J420="Buy Order",SUMIFS('Market Data'!$F$5:$F$504,'Market Data'!$A$5:$A$504,I420,'Market Data'!$B$5:$B$504,E420,'Market Data'!$D$5:$D$504,1),SUMIFS('Market Data'!$E$5:$E$504,'Market Data'!$A$5:$A$504,I420,'Market Data'!$B$5:$B$504,E420,'Market Data'!$D$5:$D$504,1))))</x:f>
      </x:c>
      <x:c r="M420" s="73" t="str">
        <x:f>IF(A420="","",L420*(1+IF(J420="Buy Order",Settings!$B$16,0)))</x:f>
      </x:c>
      <x:c r="N420" s="73" t="str">
        <x:f>IF(A420="","",G420*M420)</x:f>
      </x:c>
    </x:row>
    <x:row r="421">
      <x:c r="A421" s="42"/>
      <x:c r="B421" s="42"/>
      <x:c r="C421" s="42"/>
      <x:c r="D421" s="42"/>
      <x:c r="E421" s="42"/>
      <x:c r="F421" s="42"/>
      <x:c r="G421" s="70"/>
      <x:c r="H421" s="42"/>
      <x:c r="I421" s="42"/>
      <x:c r="J421" s="42"/>
      <x:c r="K421" s="72"/>
      <x:c r="L421" s="73" t="str">
        <x:f>IF(A421="","",IF(K421&gt;0,K421,IF(J421="Buy Order",SUMIFS('Market Data'!$F$5:$F$504,'Market Data'!$A$5:$A$504,I421,'Market Data'!$B$5:$B$504,E421,'Market Data'!$D$5:$D$504,1),SUMIFS('Market Data'!$E$5:$E$504,'Market Data'!$A$5:$A$504,I421,'Market Data'!$B$5:$B$504,E421,'Market Data'!$D$5:$D$504,1))))</x:f>
      </x:c>
      <x:c r="M421" s="73" t="str">
        <x:f>IF(A421="","",L421*(1+IF(J421="Buy Order",Settings!$B$16,0)))</x:f>
      </x:c>
      <x:c r="N421" s="73" t="str">
        <x:f>IF(A421="","",G421*M421)</x:f>
      </x:c>
    </x:row>
    <x:row r="422">
      <x:c r="A422" s="42"/>
      <x:c r="B422" s="42"/>
      <x:c r="C422" s="42"/>
      <x:c r="D422" s="42"/>
      <x:c r="E422" s="42"/>
      <x:c r="F422" s="42"/>
      <x:c r="G422" s="70"/>
      <x:c r="H422" s="42"/>
      <x:c r="I422" s="42"/>
      <x:c r="J422" s="42"/>
      <x:c r="K422" s="72"/>
      <x:c r="L422" s="73" t="str">
        <x:f>IF(A422="","",IF(K422&gt;0,K422,IF(J422="Buy Order",SUMIFS('Market Data'!$F$5:$F$504,'Market Data'!$A$5:$A$504,I422,'Market Data'!$B$5:$B$504,E422,'Market Data'!$D$5:$D$504,1),SUMIFS('Market Data'!$E$5:$E$504,'Market Data'!$A$5:$A$504,I422,'Market Data'!$B$5:$B$504,E422,'Market Data'!$D$5:$D$504,1))))</x:f>
      </x:c>
      <x:c r="M422" s="73" t="str">
        <x:f>IF(A422="","",L422*(1+IF(J422="Buy Order",Settings!$B$16,0)))</x:f>
      </x:c>
      <x:c r="N422" s="73" t="str">
        <x:f>IF(A422="","",G422*M422)</x:f>
      </x:c>
    </x:row>
    <x:row r="423">
      <x:c r="A423" s="42"/>
      <x:c r="B423" s="42"/>
      <x:c r="C423" s="42"/>
      <x:c r="D423" s="42"/>
      <x:c r="E423" s="42"/>
      <x:c r="F423" s="42"/>
      <x:c r="G423" s="70"/>
      <x:c r="H423" s="42"/>
      <x:c r="I423" s="42"/>
      <x:c r="J423" s="42"/>
      <x:c r="K423" s="72"/>
      <x:c r="L423" s="73" t="str">
        <x:f>IF(A423="","",IF(K423&gt;0,K423,IF(J423="Buy Order",SUMIFS('Market Data'!$F$5:$F$504,'Market Data'!$A$5:$A$504,I423,'Market Data'!$B$5:$B$504,E423,'Market Data'!$D$5:$D$504,1),SUMIFS('Market Data'!$E$5:$E$504,'Market Data'!$A$5:$A$504,I423,'Market Data'!$B$5:$B$504,E423,'Market Data'!$D$5:$D$504,1))))</x:f>
      </x:c>
      <x:c r="M423" s="73" t="str">
        <x:f>IF(A423="","",L423*(1+IF(J423="Buy Order",Settings!$B$16,0)))</x:f>
      </x:c>
      <x:c r="N423" s="73" t="str">
        <x:f>IF(A423="","",G423*M423)</x:f>
      </x:c>
    </x:row>
    <x:row r="424">
      <x:c r="A424" s="42"/>
      <x:c r="B424" s="42"/>
      <x:c r="C424" s="42"/>
      <x:c r="D424" s="42"/>
      <x:c r="E424" s="42"/>
      <x:c r="F424" s="42"/>
      <x:c r="G424" s="70"/>
      <x:c r="H424" s="42"/>
      <x:c r="I424" s="42"/>
      <x:c r="J424" s="42"/>
      <x:c r="K424" s="72"/>
      <x:c r="L424" s="73" t="str">
        <x:f>IF(A424="","",IF(K424&gt;0,K424,IF(J424="Buy Order",SUMIFS('Market Data'!$F$5:$F$504,'Market Data'!$A$5:$A$504,I424,'Market Data'!$B$5:$B$504,E424,'Market Data'!$D$5:$D$504,1),SUMIFS('Market Data'!$E$5:$E$504,'Market Data'!$A$5:$A$504,I424,'Market Data'!$B$5:$B$504,E424,'Market Data'!$D$5:$D$504,1))))</x:f>
      </x:c>
      <x:c r="M424" s="73" t="str">
        <x:f>IF(A424="","",L424*(1+IF(J424="Buy Order",Settings!$B$16,0)))</x:f>
      </x:c>
      <x:c r="N424" s="73" t="str">
        <x:f>IF(A424="","",G424*M424)</x:f>
      </x:c>
    </x:row>
    <x:row r="425">
      <x:c r="A425" s="42"/>
      <x:c r="B425" s="42"/>
      <x:c r="C425" s="42"/>
      <x:c r="D425" s="42"/>
      <x:c r="E425" s="42"/>
      <x:c r="F425" s="42"/>
      <x:c r="G425" s="70"/>
      <x:c r="H425" s="42"/>
      <x:c r="I425" s="42"/>
      <x:c r="J425" s="42"/>
      <x:c r="K425" s="72"/>
      <x:c r="L425" s="73" t="str">
        <x:f>IF(A425="","",IF(K425&gt;0,K425,IF(J425="Buy Order",SUMIFS('Market Data'!$F$5:$F$504,'Market Data'!$A$5:$A$504,I425,'Market Data'!$B$5:$B$504,E425,'Market Data'!$D$5:$D$504,1),SUMIFS('Market Data'!$E$5:$E$504,'Market Data'!$A$5:$A$504,I425,'Market Data'!$B$5:$B$504,E425,'Market Data'!$D$5:$D$504,1))))</x:f>
      </x:c>
      <x:c r="M425" s="73" t="str">
        <x:f>IF(A425="","",L425*(1+IF(J425="Buy Order",Settings!$B$16,0)))</x:f>
      </x:c>
      <x:c r="N425" s="73" t="str">
        <x:f>IF(A425="","",G425*M425)</x:f>
      </x:c>
    </x:row>
    <x:row r="426">
      <x:c r="A426" s="42"/>
      <x:c r="B426" s="42"/>
      <x:c r="C426" s="42"/>
      <x:c r="D426" s="42"/>
      <x:c r="E426" s="42"/>
      <x:c r="F426" s="42"/>
      <x:c r="G426" s="70"/>
      <x:c r="H426" s="42"/>
      <x:c r="I426" s="42"/>
      <x:c r="J426" s="42"/>
      <x:c r="K426" s="72"/>
      <x:c r="L426" s="73" t="str">
        <x:f>IF(A426="","",IF(K426&gt;0,K426,IF(J426="Buy Order",SUMIFS('Market Data'!$F$5:$F$504,'Market Data'!$A$5:$A$504,I426,'Market Data'!$B$5:$B$504,E426,'Market Data'!$D$5:$D$504,1),SUMIFS('Market Data'!$E$5:$E$504,'Market Data'!$A$5:$A$504,I426,'Market Data'!$B$5:$B$504,E426,'Market Data'!$D$5:$D$504,1))))</x:f>
      </x:c>
      <x:c r="M426" s="73" t="str">
        <x:f>IF(A426="","",L426*(1+IF(J426="Buy Order",Settings!$B$16,0)))</x:f>
      </x:c>
      <x:c r="N426" s="73" t="str">
        <x:f>IF(A426="","",G426*M426)</x:f>
      </x:c>
    </x:row>
    <x:row r="427">
      <x:c r="A427" s="42"/>
      <x:c r="B427" s="42"/>
      <x:c r="C427" s="42"/>
      <x:c r="D427" s="42"/>
      <x:c r="E427" s="42"/>
      <x:c r="F427" s="42"/>
      <x:c r="G427" s="70"/>
      <x:c r="H427" s="42"/>
      <x:c r="I427" s="42"/>
      <x:c r="J427" s="42"/>
      <x:c r="K427" s="72"/>
      <x:c r="L427" s="73" t="str">
        <x:f>IF(A427="","",IF(K427&gt;0,K427,IF(J427="Buy Order",SUMIFS('Market Data'!$F$5:$F$504,'Market Data'!$A$5:$A$504,I427,'Market Data'!$B$5:$B$504,E427,'Market Data'!$D$5:$D$504,1),SUMIFS('Market Data'!$E$5:$E$504,'Market Data'!$A$5:$A$504,I427,'Market Data'!$B$5:$B$504,E427,'Market Data'!$D$5:$D$504,1))))</x:f>
      </x:c>
      <x:c r="M427" s="73" t="str">
        <x:f>IF(A427="","",L427*(1+IF(J427="Buy Order",Settings!$B$16,0)))</x:f>
      </x:c>
      <x:c r="N427" s="73" t="str">
        <x:f>IF(A427="","",G427*M427)</x:f>
      </x:c>
    </x:row>
    <x:row r="428">
      <x:c r="A428" s="42"/>
      <x:c r="B428" s="42"/>
      <x:c r="C428" s="42"/>
      <x:c r="D428" s="42"/>
      <x:c r="E428" s="42"/>
      <x:c r="F428" s="42"/>
      <x:c r="G428" s="70"/>
      <x:c r="H428" s="42"/>
      <x:c r="I428" s="42"/>
      <x:c r="J428" s="42"/>
      <x:c r="K428" s="72"/>
      <x:c r="L428" s="73" t="str">
        <x:f>IF(A428="","",IF(K428&gt;0,K428,IF(J428="Buy Order",SUMIFS('Market Data'!$F$5:$F$504,'Market Data'!$A$5:$A$504,I428,'Market Data'!$B$5:$B$504,E428,'Market Data'!$D$5:$D$504,1),SUMIFS('Market Data'!$E$5:$E$504,'Market Data'!$A$5:$A$504,I428,'Market Data'!$B$5:$B$504,E428,'Market Data'!$D$5:$D$504,1))))</x:f>
      </x:c>
      <x:c r="M428" s="73" t="str">
        <x:f>IF(A428="","",L428*(1+IF(J428="Buy Order",Settings!$B$16,0)))</x:f>
      </x:c>
      <x:c r="N428" s="73" t="str">
        <x:f>IF(A428="","",G428*M428)</x:f>
      </x:c>
    </x:row>
    <x:row r="429">
      <x:c r="A429" s="42"/>
      <x:c r="B429" s="42"/>
      <x:c r="C429" s="42"/>
      <x:c r="D429" s="42"/>
      <x:c r="E429" s="42"/>
      <x:c r="F429" s="42"/>
      <x:c r="G429" s="70"/>
      <x:c r="H429" s="42"/>
      <x:c r="I429" s="42"/>
      <x:c r="J429" s="42"/>
      <x:c r="K429" s="72"/>
      <x:c r="L429" s="73" t="str">
        <x:f>IF(A429="","",IF(K429&gt;0,K429,IF(J429="Buy Order",SUMIFS('Market Data'!$F$5:$F$504,'Market Data'!$A$5:$A$504,I429,'Market Data'!$B$5:$B$504,E429,'Market Data'!$D$5:$D$504,1),SUMIFS('Market Data'!$E$5:$E$504,'Market Data'!$A$5:$A$504,I429,'Market Data'!$B$5:$B$504,E429,'Market Data'!$D$5:$D$504,1))))</x:f>
      </x:c>
      <x:c r="M429" s="73" t="str">
        <x:f>IF(A429="","",L429*(1+IF(J429="Buy Order",Settings!$B$16,0)))</x:f>
      </x:c>
      <x:c r="N429" s="73" t="str">
        <x:f>IF(A429="","",G429*M429)</x:f>
      </x:c>
    </x:row>
    <x:row r="430">
      <x:c r="A430" s="42"/>
      <x:c r="B430" s="42"/>
      <x:c r="C430" s="42"/>
      <x:c r="D430" s="42"/>
      <x:c r="E430" s="42"/>
      <x:c r="F430" s="42"/>
      <x:c r="G430" s="70"/>
      <x:c r="H430" s="42"/>
      <x:c r="I430" s="42"/>
      <x:c r="J430" s="42"/>
      <x:c r="K430" s="72"/>
      <x:c r="L430" s="73" t="str">
        <x:f>IF(A430="","",IF(K430&gt;0,K430,IF(J430="Buy Order",SUMIFS('Market Data'!$F$5:$F$504,'Market Data'!$A$5:$A$504,I430,'Market Data'!$B$5:$B$504,E430,'Market Data'!$D$5:$D$504,1),SUMIFS('Market Data'!$E$5:$E$504,'Market Data'!$A$5:$A$504,I430,'Market Data'!$B$5:$B$504,E430,'Market Data'!$D$5:$D$504,1))))</x:f>
      </x:c>
      <x:c r="M430" s="73" t="str">
        <x:f>IF(A430="","",L430*(1+IF(J430="Buy Order",Settings!$B$16,0)))</x:f>
      </x:c>
      <x:c r="N430" s="73" t="str">
        <x:f>IF(A430="","",G430*M430)</x:f>
      </x:c>
    </x:row>
    <x:row r="431">
      <x:c r="A431" s="42"/>
      <x:c r="B431" s="42"/>
      <x:c r="C431" s="42"/>
      <x:c r="D431" s="42"/>
      <x:c r="E431" s="42"/>
      <x:c r="F431" s="42"/>
      <x:c r="G431" s="70"/>
      <x:c r="H431" s="42"/>
      <x:c r="I431" s="42"/>
      <x:c r="J431" s="42"/>
      <x:c r="K431" s="72"/>
      <x:c r="L431" s="73" t="str">
        <x:f>IF(A431="","",IF(K431&gt;0,K431,IF(J431="Buy Order",SUMIFS('Market Data'!$F$5:$F$504,'Market Data'!$A$5:$A$504,I431,'Market Data'!$B$5:$B$504,E431,'Market Data'!$D$5:$D$504,1),SUMIFS('Market Data'!$E$5:$E$504,'Market Data'!$A$5:$A$504,I431,'Market Data'!$B$5:$B$504,E431,'Market Data'!$D$5:$D$504,1))))</x:f>
      </x:c>
      <x:c r="M431" s="73" t="str">
        <x:f>IF(A431="","",L431*(1+IF(J431="Buy Order",Settings!$B$16,0)))</x:f>
      </x:c>
      <x:c r="N431" s="73" t="str">
        <x:f>IF(A431="","",G431*M431)</x:f>
      </x:c>
    </x:row>
    <x:row r="432">
      <x:c r="A432" s="42"/>
      <x:c r="B432" s="42"/>
      <x:c r="C432" s="42"/>
      <x:c r="D432" s="42"/>
      <x:c r="E432" s="42"/>
      <x:c r="F432" s="42"/>
      <x:c r="G432" s="70"/>
      <x:c r="H432" s="42"/>
      <x:c r="I432" s="42"/>
      <x:c r="J432" s="42"/>
      <x:c r="K432" s="72"/>
      <x:c r="L432" s="73" t="str">
        <x:f>IF(A432="","",IF(K432&gt;0,K432,IF(J432="Buy Order",SUMIFS('Market Data'!$F$5:$F$504,'Market Data'!$A$5:$A$504,I432,'Market Data'!$B$5:$B$504,E432,'Market Data'!$D$5:$D$504,1),SUMIFS('Market Data'!$E$5:$E$504,'Market Data'!$A$5:$A$504,I432,'Market Data'!$B$5:$B$504,E432,'Market Data'!$D$5:$D$504,1))))</x:f>
      </x:c>
      <x:c r="M432" s="73" t="str">
        <x:f>IF(A432="","",L432*(1+IF(J432="Buy Order",Settings!$B$16,0)))</x:f>
      </x:c>
      <x:c r="N432" s="73" t="str">
        <x:f>IF(A432="","",G432*M432)</x:f>
      </x:c>
    </x:row>
    <x:row r="433">
      <x:c r="A433" s="42"/>
      <x:c r="B433" s="42"/>
      <x:c r="C433" s="42"/>
      <x:c r="D433" s="42"/>
      <x:c r="E433" s="42"/>
      <x:c r="F433" s="42"/>
      <x:c r="G433" s="70"/>
      <x:c r="H433" s="42"/>
      <x:c r="I433" s="42"/>
      <x:c r="J433" s="42"/>
      <x:c r="K433" s="72"/>
      <x:c r="L433" s="73" t="str">
        <x:f>IF(A433="","",IF(K433&gt;0,K433,IF(J433="Buy Order",SUMIFS('Market Data'!$F$5:$F$504,'Market Data'!$A$5:$A$504,I433,'Market Data'!$B$5:$B$504,E433,'Market Data'!$D$5:$D$504,1),SUMIFS('Market Data'!$E$5:$E$504,'Market Data'!$A$5:$A$504,I433,'Market Data'!$B$5:$B$504,E433,'Market Data'!$D$5:$D$504,1))))</x:f>
      </x:c>
      <x:c r="M433" s="73" t="str">
        <x:f>IF(A433="","",L433*(1+IF(J433="Buy Order",Settings!$B$16,0)))</x:f>
      </x:c>
      <x:c r="N433" s="73" t="str">
        <x:f>IF(A433="","",G433*M433)</x:f>
      </x:c>
    </x:row>
    <x:row r="434">
      <x:c r="A434" s="42"/>
      <x:c r="B434" s="42"/>
      <x:c r="C434" s="42"/>
      <x:c r="D434" s="42"/>
      <x:c r="E434" s="42"/>
      <x:c r="F434" s="42"/>
      <x:c r="G434" s="70"/>
      <x:c r="H434" s="42"/>
      <x:c r="I434" s="42"/>
      <x:c r="J434" s="42"/>
      <x:c r="K434" s="72"/>
      <x:c r="L434" s="73" t="str">
        <x:f>IF(A434="","",IF(K434&gt;0,K434,IF(J434="Buy Order",SUMIFS('Market Data'!$F$5:$F$504,'Market Data'!$A$5:$A$504,I434,'Market Data'!$B$5:$B$504,E434,'Market Data'!$D$5:$D$504,1),SUMIFS('Market Data'!$E$5:$E$504,'Market Data'!$A$5:$A$504,I434,'Market Data'!$B$5:$B$504,E434,'Market Data'!$D$5:$D$504,1))))</x:f>
      </x:c>
      <x:c r="M434" s="73" t="str">
        <x:f>IF(A434="","",L434*(1+IF(J434="Buy Order",Settings!$B$16,0)))</x:f>
      </x:c>
      <x:c r="N434" s="73" t="str">
        <x:f>IF(A434="","",G434*M434)</x:f>
      </x:c>
    </x:row>
    <x:row r="435">
      <x:c r="A435" s="42"/>
      <x:c r="B435" s="42"/>
      <x:c r="C435" s="42"/>
      <x:c r="D435" s="42"/>
      <x:c r="E435" s="42"/>
      <x:c r="F435" s="42"/>
      <x:c r="G435" s="70"/>
      <x:c r="H435" s="42"/>
      <x:c r="I435" s="42"/>
      <x:c r="J435" s="42"/>
      <x:c r="K435" s="72"/>
      <x:c r="L435" s="73" t="str">
        <x:f>IF(A435="","",IF(K435&gt;0,K435,IF(J435="Buy Order",SUMIFS('Market Data'!$F$5:$F$504,'Market Data'!$A$5:$A$504,I435,'Market Data'!$B$5:$B$504,E435,'Market Data'!$D$5:$D$504,1),SUMIFS('Market Data'!$E$5:$E$504,'Market Data'!$A$5:$A$504,I435,'Market Data'!$B$5:$B$504,E435,'Market Data'!$D$5:$D$504,1))))</x:f>
      </x:c>
      <x:c r="M435" s="73" t="str">
        <x:f>IF(A435="","",L435*(1+IF(J435="Buy Order",Settings!$B$16,0)))</x:f>
      </x:c>
      <x:c r="N435" s="73" t="str">
        <x:f>IF(A435="","",G435*M435)</x:f>
      </x:c>
    </x:row>
    <x:row r="436">
      <x:c r="A436" s="42"/>
      <x:c r="B436" s="42"/>
      <x:c r="C436" s="42"/>
      <x:c r="D436" s="42"/>
      <x:c r="E436" s="42"/>
      <x:c r="F436" s="42"/>
      <x:c r="G436" s="70"/>
      <x:c r="H436" s="42"/>
      <x:c r="I436" s="42"/>
      <x:c r="J436" s="42"/>
      <x:c r="K436" s="72"/>
      <x:c r="L436" s="73" t="str">
        <x:f>IF(A436="","",IF(K436&gt;0,K436,IF(J436="Buy Order",SUMIFS('Market Data'!$F$5:$F$504,'Market Data'!$A$5:$A$504,I436,'Market Data'!$B$5:$B$504,E436,'Market Data'!$D$5:$D$504,1),SUMIFS('Market Data'!$E$5:$E$504,'Market Data'!$A$5:$A$504,I436,'Market Data'!$B$5:$B$504,E436,'Market Data'!$D$5:$D$504,1))))</x:f>
      </x:c>
      <x:c r="M436" s="73" t="str">
        <x:f>IF(A436="","",L436*(1+IF(J436="Buy Order",Settings!$B$16,0)))</x:f>
      </x:c>
      <x:c r="N436" s="73" t="str">
        <x:f>IF(A436="","",G436*M436)</x:f>
      </x:c>
    </x:row>
    <x:row r="437">
      <x:c r="A437" s="42"/>
      <x:c r="B437" s="42"/>
      <x:c r="C437" s="42"/>
      <x:c r="D437" s="42"/>
      <x:c r="E437" s="42"/>
      <x:c r="F437" s="42"/>
      <x:c r="G437" s="70"/>
      <x:c r="H437" s="42"/>
      <x:c r="I437" s="42"/>
      <x:c r="J437" s="42"/>
      <x:c r="K437" s="72"/>
      <x:c r="L437" s="73" t="str">
        <x:f>IF(A437="","",IF(K437&gt;0,K437,IF(J437="Buy Order",SUMIFS('Market Data'!$F$5:$F$504,'Market Data'!$A$5:$A$504,I437,'Market Data'!$B$5:$B$504,E437,'Market Data'!$D$5:$D$504,1),SUMIFS('Market Data'!$E$5:$E$504,'Market Data'!$A$5:$A$504,I437,'Market Data'!$B$5:$B$504,E437,'Market Data'!$D$5:$D$504,1))))</x:f>
      </x:c>
      <x:c r="M437" s="73" t="str">
        <x:f>IF(A437="","",L437*(1+IF(J437="Buy Order",Settings!$B$16,0)))</x:f>
      </x:c>
      <x:c r="N437" s="73" t="str">
        <x:f>IF(A437="","",G437*M437)</x:f>
      </x:c>
    </x:row>
    <x:row r="438">
      <x:c r="A438" s="42"/>
      <x:c r="B438" s="42"/>
      <x:c r="C438" s="42"/>
      <x:c r="D438" s="42"/>
      <x:c r="E438" s="42"/>
      <x:c r="F438" s="42"/>
      <x:c r="G438" s="70"/>
      <x:c r="H438" s="42"/>
      <x:c r="I438" s="42"/>
      <x:c r="J438" s="42"/>
      <x:c r="K438" s="72"/>
      <x:c r="L438" s="73" t="str">
        <x:f>IF(A438="","",IF(K438&gt;0,K438,IF(J438="Buy Order",SUMIFS('Market Data'!$F$5:$F$504,'Market Data'!$A$5:$A$504,I438,'Market Data'!$B$5:$B$504,E438,'Market Data'!$D$5:$D$504,1),SUMIFS('Market Data'!$E$5:$E$504,'Market Data'!$A$5:$A$504,I438,'Market Data'!$B$5:$B$504,E438,'Market Data'!$D$5:$D$504,1))))</x:f>
      </x:c>
      <x:c r="M438" s="73" t="str">
        <x:f>IF(A438="","",L438*(1+IF(J438="Buy Order",Settings!$B$16,0)))</x:f>
      </x:c>
      <x:c r="N438" s="73" t="str">
        <x:f>IF(A438="","",G438*M438)</x:f>
      </x:c>
    </x:row>
    <x:row r="439">
      <x:c r="A439" s="42"/>
      <x:c r="B439" s="42"/>
      <x:c r="C439" s="42"/>
      <x:c r="D439" s="42"/>
      <x:c r="E439" s="42"/>
      <x:c r="F439" s="42"/>
      <x:c r="G439" s="70"/>
      <x:c r="H439" s="42"/>
      <x:c r="I439" s="42"/>
      <x:c r="J439" s="42"/>
      <x:c r="K439" s="72"/>
      <x:c r="L439" s="73" t="str">
        <x:f>IF(A439="","",IF(K439&gt;0,K439,IF(J439="Buy Order",SUMIFS('Market Data'!$F$5:$F$504,'Market Data'!$A$5:$A$504,I439,'Market Data'!$B$5:$B$504,E439,'Market Data'!$D$5:$D$504,1),SUMIFS('Market Data'!$E$5:$E$504,'Market Data'!$A$5:$A$504,I439,'Market Data'!$B$5:$B$504,E439,'Market Data'!$D$5:$D$504,1))))</x:f>
      </x:c>
      <x:c r="M439" s="73" t="str">
        <x:f>IF(A439="","",L439*(1+IF(J439="Buy Order",Settings!$B$16,0)))</x:f>
      </x:c>
      <x:c r="N439" s="73" t="str">
        <x:f>IF(A439="","",G439*M439)</x:f>
      </x:c>
    </x:row>
    <x:row r="440">
      <x:c r="A440" s="42"/>
      <x:c r="B440" s="42"/>
      <x:c r="C440" s="42"/>
      <x:c r="D440" s="42"/>
      <x:c r="E440" s="42"/>
      <x:c r="F440" s="42"/>
      <x:c r="G440" s="70"/>
      <x:c r="H440" s="42"/>
      <x:c r="I440" s="42"/>
      <x:c r="J440" s="42"/>
      <x:c r="K440" s="72"/>
      <x:c r="L440" s="73" t="str">
        <x:f>IF(A440="","",IF(K440&gt;0,K440,IF(J440="Buy Order",SUMIFS('Market Data'!$F$5:$F$504,'Market Data'!$A$5:$A$504,I440,'Market Data'!$B$5:$B$504,E440,'Market Data'!$D$5:$D$504,1),SUMIFS('Market Data'!$E$5:$E$504,'Market Data'!$A$5:$A$504,I440,'Market Data'!$B$5:$B$504,E440,'Market Data'!$D$5:$D$504,1))))</x:f>
      </x:c>
      <x:c r="M440" s="73" t="str">
        <x:f>IF(A440="","",L440*(1+IF(J440="Buy Order",Settings!$B$16,0)))</x:f>
      </x:c>
      <x:c r="N440" s="73" t="str">
        <x:f>IF(A440="","",G440*M440)</x:f>
      </x:c>
    </x:row>
    <x:row r="441">
      <x:c r="A441" s="42"/>
      <x:c r="B441" s="42"/>
      <x:c r="C441" s="42"/>
      <x:c r="D441" s="42"/>
      <x:c r="E441" s="42"/>
      <x:c r="F441" s="42"/>
      <x:c r="G441" s="70"/>
      <x:c r="H441" s="42"/>
      <x:c r="I441" s="42"/>
      <x:c r="J441" s="42"/>
      <x:c r="K441" s="72"/>
      <x:c r="L441" s="73" t="str">
        <x:f>IF(A441="","",IF(K441&gt;0,K441,IF(J441="Buy Order",SUMIFS('Market Data'!$F$5:$F$504,'Market Data'!$A$5:$A$504,I441,'Market Data'!$B$5:$B$504,E441,'Market Data'!$D$5:$D$504,1),SUMIFS('Market Data'!$E$5:$E$504,'Market Data'!$A$5:$A$504,I441,'Market Data'!$B$5:$B$504,E441,'Market Data'!$D$5:$D$504,1))))</x:f>
      </x:c>
      <x:c r="M441" s="73" t="str">
        <x:f>IF(A441="","",L441*(1+IF(J441="Buy Order",Settings!$B$16,0)))</x:f>
      </x:c>
      <x:c r="N441" s="73" t="str">
        <x:f>IF(A441="","",G441*M441)</x:f>
      </x:c>
    </x:row>
    <x:row r="442">
      <x:c r="A442" s="42"/>
      <x:c r="B442" s="42"/>
      <x:c r="C442" s="42"/>
      <x:c r="D442" s="42"/>
      <x:c r="E442" s="42"/>
      <x:c r="F442" s="42"/>
      <x:c r="G442" s="70"/>
      <x:c r="H442" s="42"/>
      <x:c r="I442" s="42"/>
      <x:c r="J442" s="42"/>
      <x:c r="K442" s="72"/>
      <x:c r="L442" s="73" t="str">
        <x:f>IF(A442="","",IF(K442&gt;0,K442,IF(J442="Buy Order",SUMIFS('Market Data'!$F$5:$F$504,'Market Data'!$A$5:$A$504,I442,'Market Data'!$B$5:$B$504,E442,'Market Data'!$D$5:$D$504,1),SUMIFS('Market Data'!$E$5:$E$504,'Market Data'!$A$5:$A$504,I442,'Market Data'!$B$5:$B$504,E442,'Market Data'!$D$5:$D$504,1))))</x:f>
      </x:c>
      <x:c r="M442" s="73" t="str">
        <x:f>IF(A442="","",L442*(1+IF(J442="Buy Order",Settings!$B$16,0)))</x:f>
      </x:c>
      <x:c r="N442" s="73" t="str">
        <x:f>IF(A442="","",G442*M442)</x:f>
      </x:c>
    </x:row>
    <x:row r="443">
      <x:c r="A443" s="42"/>
      <x:c r="B443" s="42"/>
      <x:c r="C443" s="42"/>
      <x:c r="D443" s="42"/>
      <x:c r="E443" s="42"/>
      <x:c r="F443" s="42"/>
      <x:c r="G443" s="70"/>
      <x:c r="H443" s="42"/>
      <x:c r="I443" s="42"/>
      <x:c r="J443" s="42"/>
      <x:c r="K443" s="72"/>
      <x:c r="L443" s="73" t="str">
        <x:f>IF(A443="","",IF(K443&gt;0,K443,IF(J443="Buy Order",SUMIFS('Market Data'!$F$5:$F$504,'Market Data'!$A$5:$A$504,I443,'Market Data'!$B$5:$B$504,E443,'Market Data'!$D$5:$D$504,1),SUMIFS('Market Data'!$E$5:$E$504,'Market Data'!$A$5:$A$504,I443,'Market Data'!$B$5:$B$504,E443,'Market Data'!$D$5:$D$504,1))))</x:f>
      </x:c>
      <x:c r="M443" s="73" t="str">
        <x:f>IF(A443="","",L443*(1+IF(J443="Buy Order",Settings!$B$16,0)))</x:f>
      </x:c>
      <x:c r="N443" s="73" t="str">
        <x:f>IF(A443="","",G443*M443)</x:f>
      </x:c>
    </x:row>
    <x:row r="444">
      <x:c r="A444" s="42"/>
      <x:c r="B444" s="42"/>
      <x:c r="C444" s="42"/>
      <x:c r="D444" s="42"/>
      <x:c r="E444" s="42"/>
      <x:c r="F444" s="42"/>
      <x:c r="G444" s="70"/>
      <x:c r="H444" s="42"/>
      <x:c r="I444" s="42"/>
      <x:c r="J444" s="42"/>
      <x:c r="K444" s="72"/>
      <x:c r="L444" s="73" t="str">
        <x:f>IF(A444="","",IF(K444&gt;0,K444,IF(J444="Buy Order",SUMIFS('Market Data'!$F$5:$F$504,'Market Data'!$A$5:$A$504,I444,'Market Data'!$B$5:$B$504,E444,'Market Data'!$D$5:$D$504,1),SUMIFS('Market Data'!$E$5:$E$504,'Market Data'!$A$5:$A$504,I444,'Market Data'!$B$5:$B$504,E444,'Market Data'!$D$5:$D$504,1))))</x:f>
      </x:c>
      <x:c r="M444" s="73" t="str">
        <x:f>IF(A444="","",L444*(1+IF(J444="Buy Order",Settings!$B$16,0)))</x:f>
      </x:c>
      <x:c r="N444" s="73" t="str">
        <x:f>IF(A444="","",G444*M444)</x:f>
      </x:c>
    </x:row>
    <x:row r="445">
      <x:c r="A445" s="42"/>
      <x:c r="B445" s="42"/>
      <x:c r="C445" s="42"/>
      <x:c r="D445" s="42"/>
      <x:c r="E445" s="42"/>
      <x:c r="F445" s="42"/>
      <x:c r="G445" s="70"/>
      <x:c r="H445" s="42"/>
      <x:c r="I445" s="42"/>
      <x:c r="J445" s="42"/>
      <x:c r="K445" s="72"/>
      <x:c r="L445" s="73" t="str">
        <x:f>IF(A445="","",IF(K445&gt;0,K445,IF(J445="Buy Order",SUMIFS('Market Data'!$F$5:$F$504,'Market Data'!$A$5:$A$504,I445,'Market Data'!$B$5:$B$504,E445,'Market Data'!$D$5:$D$504,1),SUMIFS('Market Data'!$E$5:$E$504,'Market Data'!$A$5:$A$504,I445,'Market Data'!$B$5:$B$504,E445,'Market Data'!$D$5:$D$504,1))))</x:f>
      </x:c>
      <x:c r="M445" s="73" t="str">
        <x:f>IF(A445="","",L445*(1+IF(J445="Buy Order",Settings!$B$16,0)))</x:f>
      </x:c>
      <x:c r="N445" s="73" t="str">
        <x:f>IF(A445="","",G445*M445)</x:f>
      </x:c>
    </x:row>
    <x:row r="446">
      <x:c r="A446" s="42"/>
      <x:c r="B446" s="42"/>
      <x:c r="C446" s="42"/>
      <x:c r="D446" s="42"/>
      <x:c r="E446" s="42"/>
      <x:c r="F446" s="42"/>
      <x:c r="G446" s="70"/>
      <x:c r="H446" s="42"/>
      <x:c r="I446" s="42"/>
      <x:c r="J446" s="42"/>
      <x:c r="K446" s="72"/>
      <x:c r="L446" s="73" t="str">
        <x:f>IF(A446="","",IF(K446&gt;0,K446,IF(J446="Buy Order",SUMIFS('Market Data'!$F$5:$F$504,'Market Data'!$A$5:$A$504,I446,'Market Data'!$B$5:$B$504,E446,'Market Data'!$D$5:$D$504,1),SUMIFS('Market Data'!$E$5:$E$504,'Market Data'!$A$5:$A$504,I446,'Market Data'!$B$5:$B$504,E446,'Market Data'!$D$5:$D$504,1))))</x:f>
      </x:c>
      <x:c r="M446" s="73" t="str">
        <x:f>IF(A446="","",L446*(1+IF(J446="Buy Order",Settings!$B$16,0)))</x:f>
      </x:c>
      <x:c r="N446" s="73" t="str">
        <x:f>IF(A446="","",G446*M446)</x:f>
      </x:c>
    </x:row>
    <x:row r="447">
      <x:c r="A447" s="42"/>
      <x:c r="B447" s="42"/>
      <x:c r="C447" s="42"/>
      <x:c r="D447" s="42"/>
      <x:c r="E447" s="42"/>
      <x:c r="F447" s="42"/>
      <x:c r="G447" s="70"/>
      <x:c r="H447" s="42"/>
      <x:c r="I447" s="42"/>
      <x:c r="J447" s="42"/>
      <x:c r="K447" s="72"/>
      <x:c r="L447" s="73" t="str">
        <x:f>IF(A447="","",IF(K447&gt;0,K447,IF(J447="Buy Order",SUMIFS('Market Data'!$F$5:$F$504,'Market Data'!$A$5:$A$504,I447,'Market Data'!$B$5:$B$504,E447,'Market Data'!$D$5:$D$504,1),SUMIFS('Market Data'!$E$5:$E$504,'Market Data'!$A$5:$A$504,I447,'Market Data'!$B$5:$B$504,E447,'Market Data'!$D$5:$D$504,1))))</x:f>
      </x:c>
      <x:c r="M447" s="73" t="str">
        <x:f>IF(A447="","",L447*(1+IF(J447="Buy Order",Settings!$B$16,0)))</x:f>
      </x:c>
      <x:c r="N447" s="73" t="str">
        <x:f>IF(A447="","",G447*M447)</x:f>
      </x:c>
    </x:row>
    <x:row r="448">
      <x:c r="A448" s="42"/>
      <x:c r="B448" s="42"/>
      <x:c r="C448" s="42"/>
      <x:c r="D448" s="42"/>
      <x:c r="E448" s="42"/>
      <x:c r="F448" s="42"/>
      <x:c r="G448" s="70"/>
      <x:c r="H448" s="42"/>
      <x:c r="I448" s="42"/>
      <x:c r="J448" s="42"/>
      <x:c r="K448" s="72"/>
      <x:c r="L448" s="73" t="str">
        <x:f>IF(A448="","",IF(K448&gt;0,K448,IF(J448="Buy Order",SUMIFS('Market Data'!$F$5:$F$504,'Market Data'!$A$5:$A$504,I448,'Market Data'!$B$5:$B$504,E448,'Market Data'!$D$5:$D$504,1),SUMIFS('Market Data'!$E$5:$E$504,'Market Data'!$A$5:$A$504,I448,'Market Data'!$B$5:$B$504,E448,'Market Data'!$D$5:$D$504,1))))</x:f>
      </x:c>
      <x:c r="M448" s="73" t="str">
        <x:f>IF(A448="","",L448*(1+IF(J448="Buy Order",Settings!$B$16,0)))</x:f>
      </x:c>
      <x:c r="N448" s="73" t="str">
        <x:f>IF(A448="","",G448*M448)</x:f>
      </x:c>
    </x:row>
    <x:row r="449">
      <x:c r="A449" s="42"/>
      <x:c r="B449" s="42"/>
      <x:c r="C449" s="42"/>
      <x:c r="D449" s="42"/>
      <x:c r="E449" s="42"/>
      <x:c r="F449" s="42"/>
      <x:c r="G449" s="70"/>
      <x:c r="H449" s="42"/>
      <x:c r="I449" s="42"/>
      <x:c r="J449" s="42"/>
      <x:c r="K449" s="72"/>
      <x:c r="L449" s="73" t="str">
        <x:f>IF(A449="","",IF(K449&gt;0,K449,IF(J449="Buy Order",SUMIFS('Market Data'!$F$5:$F$504,'Market Data'!$A$5:$A$504,I449,'Market Data'!$B$5:$B$504,E449,'Market Data'!$D$5:$D$504,1),SUMIFS('Market Data'!$E$5:$E$504,'Market Data'!$A$5:$A$504,I449,'Market Data'!$B$5:$B$504,E449,'Market Data'!$D$5:$D$504,1))))</x:f>
      </x:c>
      <x:c r="M449" s="73" t="str">
        <x:f>IF(A449="","",L449*(1+IF(J449="Buy Order",Settings!$B$16,0)))</x:f>
      </x:c>
      <x:c r="N449" s="73" t="str">
        <x:f>IF(A449="","",G449*M449)</x:f>
      </x:c>
    </x:row>
    <x:row r="450">
      <x:c r="A450" s="42"/>
      <x:c r="B450" s="42"/>
      <x:c r="C450" s="42"/>
      <x:c r="D450" s="42"/>
      <x:c r="E450" s="42"/>
      <x:c r="F450" s="42"/>
      <x:c r="G450" s="70"/>
      <x:c r="H450" s="42"/>
      <x:c r="I450" s="42"/>
      <x:c r="J450" s="42"/>
      <x:c r="K450" s="72"/>
      <x:c r="L450" s="73" t="str">
        <x:f>IF(A450="","",IF(K450&gt;0,K450,IF(J450="Buy Order",SUMIFS('Market Data'!$F$5:$F$504,'Market Data'!$A$5:$A$504,I450,'Market Data'!$B$5:$B$504,E450,'Market Data'!$D$5:$D$504,1),SUMIFS('Market Data'!$E$5:$E$504,'Market Data'!$A$5:$A$504,I450,'Market Data'!$B$5:$B$504,E450,'Market Data'!$D$5:$D$504,1))))</x:f>
      </x:c>
      <x:c r="M450" s="73" t="str">
        <x:f>IF(A450="","",L450*(1+IF(J450="Buy Order",Settings!$B$16,0)))</x:f>
      </x:c>
      <x:c r="N450" s="73" t="str">
        <x:f>IF(A450="","",G450*M450)</x:f>
      </x:c>
    </x:row>
    <x:row r="451">
      <x:c r="A451" s="42"/>
      <x:c r="B451" s="42"/>
      <x:c r="C451" s="42"/>
      <x:c r="D451" s="42"/>
      <x:c r="E451" s="42"/>
      <x:c r="F451" s="42"/>
      <x:c r="G451" s="70"/>
      <x:c r="H451" s="42"/>
      <x:c r="I451" s="42"/>
      <x:c r="J451" s="42"/>
      <x:c r="K451" s="72"/>
      <x:c r="L451" s="73" t="str">
        <x:f>IF(A451="","",IF(K451&gt;0,K451,IF(J451="Buy Order",SUMIFS('Market Data'!$F$5:$F$504,'Market Data'!$A$5:$A$504,I451,'Market Data'!$B$5:$B$504,E451,'Market Data'!$D$5:$D$504,1),SUMIFS('Market Data'!$E$5:$E$504,'Market Data'!$A$5:$A$504,I451,'Market Data'!$B$5:$B$504,E451,'Market Data'!$D$5:$D$504,1))))</x:f>
      </x:c>
      <x:c r="M451" s="73" t="str">
        <x:f>IF(A451="","",L451*(1+IF(J451="Buy Order",Settings!$B$16,0)))</x:f>
      </x:c>
      <x:c r="N451" s="73" t="str">
        <x:f>IF(A451="","",G451*M451)</x:f>
      </x:c>
    </x:row>
    <x:row r="452">
      <x:c r="A452" s="42"/>
      <x:c r="B452" s="42"/>
      <x:c r="C452" s="42"/>
      <x:c r="D452" s="42"/>
      <x:c r="E452" s="42"/>
      <x:c r="F452" s="42"/>
      <x:c r="G452" s="70"/>
      <x:c r="H452" s="42"/>
      <x:c r="I452" s="42"/>
      <x:c r="J452" s="42"/>
      <x:c r="K452" s="72"/>
      <x:c r="L452" s="73" t="str">
        <x:f>IF(A452="","",IF(K452&gt;0,K452,IF(J452="Buy Order",SUMIFS('Market Data'!$F$5:$F$504,'Market Data'!$A$5:$A$504,I452,'Market Data'!$B$5:$B$504,E452,'Market Data'!$D$5:$D$504,1),SUMIFS('Market Data'!$E$5:$E$504,'Market Data'!$A$5:$A$504,I452,'Market Data'!$B$5:$B$504,E452,'Market Data'!$D$5:$D$504,1))))</x:f>
      </x:c>
      <x:c r="M452" s="73" t="str">
        <x:f>IF(A452="","",L452*(1+IF(J452="Buy Order",Settings!$B$16,0)))</x:f>
      </x:c>
      <x:c r="N452" s="73" t="str">
        <x:f>IF(A452="","",G452*M452)</x:f>
      </x:c>
    </x:row>
    <x:row r="453">
      <x:c r="A453" s="42"/>
      <x:c r="B453" s="42"/>
      <x:c r="C453" s="42"/>
      <x:c r="D453" s="42"/>
      <x:c r="E453" s="42"/>
      <x:c r="F453" s="42"/>
      <x:c r="G453" s="70"/>
      <x:c r="H453" s="42"/>
      <x:c r="I453" s="42"/>
      <x:c r="J453" s="42"/>
      <x:c r="K453" s="72"/>
      <x:c r="L453" s="73" t="str">
        <x:f>IF(A453="","",IF(K453&gt;0,K453,IF(J453="Buy Order",SUMIFS('Market Data'!$F$5:$F$504,'Market Data'!$A$5:$A$504,I453,'Market Data'!$B$5:$B$504,E453,'Market Data'!$D$5:$D$504,1),SUMIFS('Market Data'!$E$5:$E$504,'Market Data'!$A$5:$A$504,I453,'Market Data'!$B$5:$B$504,E453,'Market Data'!$D$5:$D$504,1))))</x:f>
      </x:c>
      <x:c r="M453" s="73" t="str">
        <x:f>IF(A453="","",L453*(1+IF(J453="Buy Order",Settings!$B$16,0)))</x:f>
      </x:c>
      <x:c r="N453" s="73" t="str">
        <x:f>IF(A453="","",G453*M453)</x:f>
      </x:c>
    </x:row>
    <x:row r="454">
      <x:c r="A454" s="42"/>
      <x:c r="B454" s="42"/>
      <x:c r="C454" s="42"/>
      <x:c r="D454" s="42"/>
      <x:c r="E454" s="42"/>
      <x:c r="F454" s="42"/>
      <x:c r="G454" s="70"/>
      <x:c r="H454" s="42"/>
      <x:c r="I454" s="42"/>
      <x:c r="J454" s="42"/>
      <x:c r="K454" s="72"/>
      <x:c r="L454" s="73" t="str">
        <x:f>IF(A454="","",IF(K454&gt;0,K454,IF(J454="Buy Order",SUMIFS('Market Data'!$F$5:$F$504,'Market Data'!$A$5:$A$504,I454,'Market Data'!$B$5:$B$504,E454,'Market Data'!$D$5:$D$504,1),SUMIFS('Market Data'!$E$5:$E$504,'Market Data'!$A$5:$A$504,I454,'Market Data'!$B$5:$B$504,E454,'Market Data'!$D$5:$D$504,1))))</x:f>
      </x:c>
      <x:c r="M454" s="73" t="str">
        <x:f>IF(A454="","",L454*(1+IF(J454="Buy Order",Settings!$B$16,0)))</x:f>
      </x:c>
      <x:c r="N454" s="73" t="str">
        <x:f>IF(A454="","",G454*M454)</x:f>
      </x:c>
    </x:row>
    <x:row r="455">
      <x:c r="A455" s="42"/>
      <x:c r="B455" s="42"/>
      <x:c r="C455" s="42"/>
      <x:c r="D455" s="42"/>
      <x:c r="E455" s="42"/>
      <x:c r="F455" s="42"/>
      <x:c r="G455" s="70"/>
      <x:c r="H455" s="42"/>
      <x:c r="I455" s="42"/>
      <x:c r="J455" s="42"/>
      <x:c r="K455" s="72"/>
      <x:c r="L455" s="73" t="str">
        <x:f>IF(A455="","",IF(K455&gt;0,K455,IF(J455="Buy Order",SUMIFS('Market Data'!$F$5:$F$504,'Market Data'!$A$5:$A$504,I455,'Market Data'!$B$5:$B$504,E455,'Market Data'!$D$5:$D$504,1),SUMIFS('Market Data'!$E$5:$E$504,'Market Data'!$A$5:$A$504,I455,'Market Data'!$B$5:$B$504,E455,'Market Data'!$D$5:$D$504,1))))</x:f>
      </x:c>
      <x:c r="M455" s="73" t="str">
        <x:f>IF(A455="","",L455*(1+IF(J455="Buy Order",Settings!$B$16,0)))</x:f>
      </x:c>
      <x:c r="N455" s="73" t="str">
        <x:f>IF(A455="","",G455*M455)</x:f>
      </x:c>
    </x:row>
    <x:row r="456">
      <x:c r="A456" s="42"/>
      <x:c r="B456" s="42"/>
      <x:c r="C456" s="42"/>
      <x:c r="D456" s="42"/>
      <x:c r="E456" s="42"/>
      <x:c r="F456" s="42"/>
      <x:c r="G456" s="70"/>
      <x:c r="H456" s="42"/>
      <x:c r="I456" s="42"/>
      <x:c r="J456" s="42"/>
      <x:c r="K456" s="72"/>
      <x:c r="L456" s="73" t="str">
        <x:f>IF(A456="","",IF(K456&gt;0,K456,IF(J456="Buy Order",SUMIFS('Market Data'!$F$5:$F$504,'Market Data'!$A$5:$A$504,I456,'Market Data'!$B$5:$B$504,E456,'Market Data'!$D$5:$D$504,1),SUMIFS('Market Data'!$E$5:$E$504,'Market Data'!$A$5:$A$504,I456,'Market Data'!$B$5:$B$504,E456,'Market Data'!$D$5:$D$504,1))))</x:f>
      </x:c>
      <x:c r="M456" s="73" t="str">
        <x:f>IF(A456="","",L456*(1+IF(J456="Buy Order",Settings!$B$16,0)))</x:f>
      </x:c>
      <x:c r="N456" s="73" t="str">
        <x:f>IF(A456="","",G456*M456)</x:f>
      </x:c>
    </x:row>
    <x:row r="457">
      <x:c r="A457" s="42"/>
      <x:c r="B457" s="42"/>
      <x:c r="C457" s="42"/>
      <x:c r="D457" s="42"/>
      <x:c r="E457" s="42"/>
      <x:c r="F457" s="42"/>
      <x:c r="G457" s="70"/>
      <x:c r="H457" s="42"/>
      <x:c r="I457" s="42"/>
      <x:c r="J457" s="42"/>
      <x:c r="K457" s="72"/>
      <x:c r="L457" s="73" t="str">
        <x:f>IF(A457="","",IF(K457&gt;0,K457,IF(J457="Buy Order",SUMIFS('Market Data'!$F$5:$F$504,'Market Data'!$A$5:$A$504,I457,'Market Data'!$B$5:$B$504,E457,'Market Data'!$D$5:$D$504,1),SUMIFS('Market Data'!$E$5:$E$504,'Market Data'!$A$5:$A$504,I457,'Market Data'!$B$5:$B$504,E457,'Market Data'!$D$5:$D$504,1))))</x:f>
      </x:c>
      <x:c r="M457" s="73" t="str">
        <x:f>IF(A457="","",L457*(1+IF(J457="Buy Order",Settings!$B$16,0)))</x:f>
      </x:c>
      <x:c r="N457" s="73" t="str">
        <x:f>IF(A457="","",G457*M457)</x:f>
      </x:c>
    </x:row>
    <x:row r="458">
      <x:c r="A458" s="42"/>
      <x:c r="B458" s="42"/>
      <x:c r="C458" s="42"/>
      <x:c r="D458" s="42"/>
      <x:c r="E458" s="42"/>
      <x:c r="F458" s="42"/>
      <x:c r="G458" s="70"/>
      <x:c r="H458" s="42"/>
      <x:c r="I458" s="42"/>
      <x:c r="J458" s="42"/>
      <x:c r="K458" s="72"/>
      <x:c r="L458" s="73" t="str">
        <x:f>IF(A458="","",IF(K458&gt;0,K458,IF(J458="Buy Order",SUMIFS('Market Data'!$F$5:$F$504,'Market Data'!$A$5:$A$504,I458,'Market Data'!$B$5:$B$504,E458,'Market Data'!$D$5:$D$504,1),SUMIFS('Market Data'!$E$5:$E$504,'Market Data'!$A$5:$A$504,I458,'Market Data'!$B$5:$B$504,E458,'Market Data'!$D$5:$D$504,1))))</x:f>
      </x:c>
      <x:c r="M458" s="73" t="str">
        <x:f>IF(A458="","",L458*(1+IF(J458="Buy Order",Settings!$B$16,0)))</x:f>
      </x:c>
      <x:c r="N458" s="73" t="str">
        <x:f>IF(A458="","",G458*M458)</x:f>
      </x:c>
    </x:row>
    <x:row r="459">
      <x:c r="A459" s="42"/>
      <x:c r="B459" s="42"/>
      <x:c r="C459" s="42"/>
      <x:c r="D459" s="42"/>
      <x:c r="E459" s="42"/>
      <x:c r="F459" s="42"/>
      <x:c r="G459" s="70"/>
      <x:c r="H459" s="42"/>
      <x:c r="I459" s="42"/>
      <x:c r="J459" s="42"/>
      <x:c r="K459" s="72"/>
      <x:c r="L459" s="73" t="str">
        <x:f>IF(A459="","",IF(K459&gt;0,K459,IF(J459="Buy Order",SUMIFS('Market Data'!$F$5:$F$504,'Market Data'!$A$5:$A$504,I459,'Market Data'!$B$5:$B$504,E459,'Market Data'!$D$5:$D$504,1),SUMIFS('Market Data'!$E$5:$E$504,'Market Data'!$A$5:$A$504,I459,'Market Data'!$B$5:$B$504,E459,'Market Data'!$D$5:$D$504,1))))</x:f>
      </x:c>
      <x:c r="M459" s="73" t="str">
        <x:f>IF(A459="","",L459*(1+IF(J459="Buy Order",Settings!$B$16,0)))</x:f>
      </x:c>
      <x:c r="N459" s="73" t="str">
        <x:f>IF(A459="","",G459*M459)</x:f>
      </x:c>
    </x:row>
    <x:row r="460">
      <x:c r="A460" s="42"/>
      <x:c r="B460" s="42"/>
      <x:c r="C460" s="42"/>
      <x:c r="D460" s="42"/>
      <x:c r="E460" s="42"/>
      <x:c r="F460" s="42"/>
      <x:c r="G460" s="70"/>
      <x:c r="H460" s="42"/>
      <x:c r="I460" s="42"/>
      <x:c r="J460" s="42"/>
      <x:c r="K460" s="72"/>
      <x:c r="L460" s="73" t="str">
        <x:f>IF(A460="","",IF(K460&gt;0,K460,IF(J460="Buy Order",SUMIFS('Market Data'!$F$5:$F$504,'Market Data'!$A$5:$A$504,I460,'Market Data'!$B$5:$B$504,E460,'Market Data'!$D$5:$D$504,1),SUMIFS('Market Data'!$E$5:$E$504,'Market Data'!$A$5:$A$504,I460,'Market Data'!$B$5:$B$504,E460,'Market Data'!$D$5:$D$504,1))))</x:f>
      </x:c>
      <x:c r="M460" s="73" t="str">
        <x:f>IF(A460="","",L460*(1+IF(J460="Buy Order",Settings!$B$16,0)))</x:f>
      </x:c>
      <x:c r="N460" s="73" t="str">
        <x:f>IF(A460="","",G460*M460)</x:f>
      </x:c>
    </x:row>
    <x:row r="461">
      <x:c r="A461" s="42"/>
      <x:c r="B461" s="42"/>
      <x:c r="C461" s="42"/>
      <x:c r="D461" s="42"/>
      <x:c r="E461" s="42"/>
      <x:c r="F461" s="42"/>
      <x:c r="G461" s="70"/>
      <x:c r="H461" s="42"/>
      <x:c r="I461" s="42"/>
      <x:c r="J461" s="42"/>
      <x:c r="K461" s="72"/>
      <x:c r="L461" s="73" t="str">
        <x:f>IF(A461="","",IF(K461&gt;0,K461,IF(J461="Buy Order",SUMIFS('Market Data'!$F$5:$F$504,'Market Data'!$A$5:$A$504,I461,'Market Data'!$B$5:$B$504,E461,'Market Data'!$D$5:$D$504,1),SUMIFS('Market Data'!$E$5:$E$504,'Market Data'!$A$5:$A$504,I461,'Market Data'!$B$5:$B$504,E461,'Market Data'!$D$5:$D$504,1))))</x:f>
      </x:c>
      <x:c r="M461" s="73" t="str">
        <x:f>IF(A461="","",L461*(1+IF(J461="Buy Order",Settings!$B$16,0)))</x:f>
      </x:c>
      <x:c r="N461" s="73" t="str">
        <x:f>IF(A461="","",G461*M461)</x:f>
      </x:c>
    </x:row>
    <x:row r="462">
      <x:c r="A462" s="42"/>
      <x:c r="B462" s="42"/>
      <x:c r="C462" s="42"/>
      <x:c r="D462" s="42"/>
      <x:c r="E462" s="42"/>
      <x:c r="F462" s="42"/>
      <x:c r="G462" s="70"/>
      <x:c r="H462" s="42"/>
      <x:c r="I462" s="42"/>
      <x:c r="J462" s="42"/>
      <x:c r="K462" s="72"/>
      <x:c r="L462" s="73" t="str">
        <x:f>IF(A462="","",IF(K462&gt;0,K462,IF(J462="Buy Order",SUMIFS('Market Data'!$F$5:$F$504,'Market Data'!$A$5:$A$504,I462,'Market Data'!$B$5:$B$504,E462,'Market Data'!$D$5:$D$504,1),SUMIFS('Market Data'!$E$5:$E$504,'Market Data'!$A$5:$A$504,I462,'Market Data'!$B$5:$B$504,E462,'Market Data'!$D$5:$D$504,1))))</x:f>
      </x:c>
      <x:c r="M462" s="73" t="str">
        <x:f>IF(A462="","",L462*(1+IF(J462="Buy Order",Settings!$B$16,0)))</x:f>
      </x:c>
      <x:c r="N462" s="73" t="str">
        <x:f>IF(A462="","",G462*M462)</x:f>
      </x:c>
    </x:row>
    <x:row r="463">
      <x:c r="A463" s="42"/>
      <x:c r="B463" s="42"/>
      <x:c r="C463" s="42"/>
      <x:c r="D463" s="42"/>
      <x:c r="E463" s="42"/>
      <x:c r="F463" s="42"/>
      <x:c r="G463" s="70"/>
      <x:c r="H463" s="42"/>
      <x:c r="I463" s="42"/>
      <x:c r="J463" s="42"/>
      <x:c r="K463" s="72"/>
      <x:c r="L463" s="73" t="str">
        <x:f>IF(A463="","",IF(K463&gt;0,K463,IF(J463="Buy Order",SUMIFS('Market Data'!$F$5:$F$504,'Market Data'!$A$5:$A$504,I463,'Market Data'!$B$5:$B$504,E463,'Market Data'!$D$5:$D$504,1),SUMIFS('Market Data'!$E$5:$E$504,'Market Data'!$A$5:$A$504,I463,'Market Data'!$B$5:$B$504,E463,'Market Data'!$D$5:$D$504,1))))</x:f>
      </x:c>
      <x:c r="M463" s="73" t="str">
        <x:f>IF(A463="","",L463*(1+IF(J463="Buy Order",Settings!$B$16,0)))</x:f>
      </x:c>
      <x:c r="N463" s="73" t="str">
        <x:f>IF(A463="","",G463*M463)</x:f>
      </x:c>
    </x:row>
    <x:row r="464">
      <x:c r="A464" s="42"/>
      <x:c r="B464" s="42"/>
      <x:c r="C464" s="42"/>
      <x:c r="D464" s="42"/>
      <x:c r="E464" s="42"/>
      <x:c r="F464" s="42"/>
      <x:c r="G464" s="70"/>
      <x:c r="H464" s="42"/>
      <x:c r="I464" s="42"/>
      <x:c r="J464" s="42"/>
      <x:c r="K464" s="72"/>
      <x:c r="L464" s="73" t="str">
        <x:f>IF(A464="","",IF(K464&gt;0,K464,IF(J464="Buy Order",SUMIFS('Market Data'!$F$5:$F$504,'Market Data'!$A$5:$A$504,I464,'Market Data'!$B$5:$B$504,E464,'Market Data'!$D$5:$D$504,1),SUMIFS('Market Data'!$E$5:$E$504,'Market Data'!$A$5:$A$504,I464,'Market Data'!$B$5:$B$504,E464,'Market Data'!$D$5:$D$504,1))))</x:f>
      </x:c>
      <x:c r="M464" s="73" t="str">
        <x:f>IF(A464="","",L464*(1+IF(J464="Buy Order",Settings!$B$16,0)))</x:f>
      </x:c>
      <x:c r="N464" s="73" t="str">
        <x:f>IF(A464="","",G464*M464)</x:f>
      </x:c>
    </x:row>
    <x:row r="465">
      <x:c r="A465" s="42"/>
      <x:c r="B465" s="42"/>
      <x:c r="C465" s="42"/>
      <x:c r="D465" s="42"/>
      <x:c r="E465" s="42"/>
      <x:c r="F465" s="42"/>
      <x:c r="G465" s="70"/>
      <x:c r="H465" s="42"/>
      <x:c r="I465" s="42"/>
      <x:c r="J465" s="42"/>
      <x:c r="K465" s="72"/>
      <x:c r="L465" s="73" t="str">
        <x:f>IF(A465="","",IF(K465&gt;0,K465,IF(J465="Buy Order",SUMIFS('Market Data'!$F$5:$F$504,'Market Data'!$A$5:$A$504,I465,'Market Data'!$B$5:$B$504,E465,'Market Data'!$D$5:$D$504,1),SUMIFS('Market Data'!$E$5:$E$504,'Market Data'!$A$5:$A$504,I465,'Market Data'!$B$5:$B$504,E465,'Market Data'!$D$5:$D$504,1))))</x:f>
      </x:c>
      <x:c r="M465" s="73" t="str">
        <x:f>IF(A465="","",L465*(1+IF(J465="Buy Order",Settings!$B$16,0)))</x:f>
      </x:c>
      <x:c r="N465" s="73" t="str">
        <x:f>IF(A465="","",G465*M465)</x:f>
      </x:c>
    </x:row>
    <x:row r="466">
      <x:c r="A466" s="42"/>
      <x:c r="B466" s="42"/>
      <x:c r="C466" s="42"/>
      <x:c r="D466" s="42"/>
      <x:c r="E466" s="42"/>
      <x:c r="F466" s="42"/>
      <x:c r="G466" s="70"/>
      <x:c r="H466" s="42"/>
      <x:c r="I466" s="42"/>
      <x:c r="J466" s="42"/>
      <x:c r="K466" s="72"/>
      <x:c r="L466" s="73" t="str">
        <x:f>IF(A466="","",IF(K466&gt;0,K466,IF(J466="Buy Order",SUMIFS('Market Data'!$F$5:$F$504,'Market Data'!$A$5:$A$504,I466,'Market Data'!$B$5:$B$504,E466,'Market Data'!$D$5:$D$504,1),SUMIFS('Market Data'!$E$5:$E$504,'Market Data'!$A$5:$A$504,I466,'Market Data'!$B$5:$B$504,E466,'Market Data'!$D$5:$D$504,1))))</x:f>
      </x:c>
      <x:c r="M466" s="73" t="str">
        <x:f>IF(A466="","",L466*(1+IF(J466="Buy Order",Settings!$B$16,0)))</x:f>
      </x:c>
      <x:c r="N466" s="73" t="str">
        <x:f>IF(A466="","",G466*M466)</x:f>
      </x:c>
    </x:row>
    <x:row r="467">
      <x:c r="A467" s="42"/>
      <x:c r="B467" s="42"/>
      <x:c r="C467" s="42"/>
      <x:c r="D467" s="42"/>
      <x:c r="E467" s="42"/>
      <x:c r="F467" s="42"/>
      <x:c r="G467" s="70"/>
      <x:c r="H467" s="42"/>
      <x:c r="I467" s="42"/>
      <x:c r="J467" s="42"/>
      <x:c r="K467" s="72"/>
      <x:c r="L467" s="73" t="str">
        <x:f>IF(A467="","",IF(K467&gt;0,K467,IF(J467="Buy Order",SUMIFS('Market Data'!$F$5:$F$504,'Market Data'!$A$5:$A$504,I467,'Market Data'!$B$5:$B$504,E467,'Market Data'!$D$5:$D$504,1),SUMIFS('Market Data'!$E$5:$E$504,'Market Data'!$A$5:$A$504,I467,'Market Data'!$B$5:$B$504,E467,'Market Data'!$D$5:$D$504,1))))</x:f>
      </x:c>
      <x:c r="M467" s="73" t="str">
        <x:f>IF(A467="","",L467*(1+IF(J467="Buy Order",Settings!$B$16,0)))</x:f>
      </x:c>
      <x:c r="N467" s="73" t="str">
        <x:f>IF(A467="","",G467*M467)</x:f>
      </x:c>
    </x:row>
    <x:row r="468">
      <x:c r="A468" s="42"/>
      <x:c r="B468" s="42"/>
      <x:c r="C468" s="42"/>
      <x:c r="D468" s="42"/>
      <x:c r="E468" s="42"/>
      <x:c r="F468" s="42"/>
      <x:c r="G468" s="70"/>
      <x:c r="H468" s="42"/>
      <x:c r="I468" s="42"/>
      <x:c r="J468" s="42"/>
      <x:c r="K468" s="72"/>
      <x:c r="L468" s="73" t="str">
        <x:f>IF(A468="","",IF(K468&gt;0,K468,IF(J468="Buy Order",SUMIFS('Market Data'!$F$5:$F$504,'Market Data'!$A$5:$A$504,I468,'Market Data'!$B$5:$B$504,E468,'Market Data'!$D$5:$D$504,1),SUMIFS('Market Data'!$E$5:$E$504,'Market Data'!$A$5:$A$504,I468,'Market Data'!$B$5:$B$504,E468,'Market Data'!$D$5:$D$504,1))))</x:f>
      </x:c>
      <x:c r="M468" s="73" t="str">
        <x:f>IF(A468="","",L468*(1+IF(J468="Buy Order",Settings!$B$16,0)))</x:f>
      </x:c>
      <x:c r="N468" s="73" t="str">
        <x:f>IF(A468="","",G468*M468)</x:f>
      </x:c>
    </x:row>
    <x:row r="469">
      <x:c r="A469" s="42"/>
      <x:c r="B469" s="42"/>
      <x:c r="C469" s="42"/>
      <x:c r="D469" s="42"/>
      <x:c r="E469" s="42"/>
      <x:c r="F469" s="42"/>
      <x:c r="G469" s="70"/>
      <x:c r="H469" s="42"/>
      <x:c r="I469" s="42"/>
      <x:c r="J469" s="42"/>
      <x:c r="K469" s="72"/>
      <x:c r="L469" s="73" t="str">
        <x:f>IF(A469="","",IF(K469&gt;0,K469,IF(J469="Buy Order",SUMIFS('Market Data'!$F$5:$F$504,'Market Data'!$A$5:$A$504,I469,'Market Data'!$B$5:$B$504,E469,'Market Data'!$D$5:$D$504,1),SUMIFS('Market Data'!$E$5:$E$504,'Market Data'!$A$5:$A$504,I469,'Market Data'!$B$5:$B$504,E469,'Market Data'!$D$5:$D$504,1))))</x:f>
      </x:c>
      <x:c r="M469" s="73" t="str">
        <x:f>IF(A469="","",L469*(1+IF(J469="Buy Order",Settings!$B$16,0)))</x:f>
      </x:c>
      <x:c r="N469" s="73" t="str">
        <x:f>IF(A469="","",G469*M469)</x:f>
      </x:c>
    </x:row>
    <x:row r="470">
      <x:c r="A470" s="42"/>
      <x:c r="B470" s="42"/>
      <x:c r="C470" s="42"/>
      <x:c r="D470" s="42"/>
      <x:c r="E470" s="42"/>
      <x:c r="F470" s="42"/>
      <x:c r="G470" s="70"/>
      <x:c r="H470" s="42"/>
      <x:c r="I470" s="42"/>
      <x:c r="J470" s="42"/>
      <x:c r="K470" s="72"/>
      <x:c r="L470" s="73" t="str">
        <x:f>IF(A470="","",IF(K470&gt;0,K470,IF(J470="Buy Order",SUMIFS('Market Data'!$F$5:$F$504,'Market Data'!$A$5:$A$504,I470,'Market Data'!$B$5:$B$504,E470,'Market Data'!$D$5:$D$504,1),SUMIFS('Market Data'!$E$5:$E$504,'Market Data'!$A$5:$A$504,I470,'Market Data'!$B$5:$B$504,E470,'Market Data'!$D$5:$D$504,1))))</x:f>
      </x:c>
      <x:c r="M470" s="73" t="str">
        <x:f>IF(A470="","",L470*(1+IF(J470="Buy Order",Settings!$B$16,0)))</x:f>
      </x:c>
      <x:c r="N470" s="73" t="str">
        <x:f>IF(A470="","",G470*M470)</x:f>
      </x:c>
    </x:row>
    <x:row r="471">
      <x:c r="A471" s="42"/>
      <x:c r="B471" s="42"/>
      <x:c r="C471" s="42"/>
      <x:c r="D471" s="42"/>
      <x:c r="E471" s="42"/>
      <x:c r="F471" s="42"/>
      <x:c r="G471" s="70"/>
      <x:c r="H471" s="42"/>
      <x:c r="I471" s="42"/>
      <x:c r="J471" s="42"/>
      <x:c r="K471" s="72"/>
      <x:c r="L471" s="73" t="str">
        <x:f>IF(A471="","",IF(K471&gt;0,K471,IF(J471="Buy Order",SUMIFS('Market Data'!$F$5:$F$504,'Market Data'!$A$5:$A$504,I471,'Market Data'!$B$5:$B$504,E471,'Market Data'!$D$5:$D$504,1),SUMIFS('Market Data'!$E$5:$E$504,'Market Data'!$A$5:$A$504,I471,'Market Data'!$B$5:$B$504,E471,'Market Data'!$D$5:$D$504,1))))</x:f>
      </x:c>
      <x:c r="M471" s="73" t="str">
        <x:f>IF(A471="","",L471*(1+IF(J471="Buy Order",Settings!$B$16,0)))</x:f>
      </x:c>
      <x:c r="N471" s="73" t="str">
        <x:f>IF(A471="","",G471*M471)</x:f>
      </x:c>
    </x:row>
    <x:row r="472">
      <x:c r="A472" s="42"/>
      <x:c r="B472" s="42"/>
      <x:c r="C472" s="42"/>
      <x:c r="D472" s="42"/>
      <x:c r="E472" s="42"/>
      <x:c r="F472" s="42"/>
      <x:c r="G472" s="70"/>
      <x:c r="H472" s="42"/>
      <x:c r="I472" s="42"/>
      <x:c r="J472" s="42"/>
      <x:c r="K472" s="72"/>
      <x:c r="L472" s="73" t="str">
        <x:f>IF(A472="","",IF(K472&gt;0,K472,IF(J472="Buy Order",SUMIFS('Market Data'!$F$5:$F$504,'Market Data'!$A$5:$A$504,I472,'Market Data'!$B$5:$B$504,E472,'Market Data'!$D$5:$D$504,1),SUMIFS('Market Data'!$E$5:$E$504,'Market Data'!$A$5:$A$504,I472,'Market Data'!$B$5:$B$504,E472,'Market Data'!$D$5:$D$504,1))))</x:f>
      </x:c>
      <x:c r="M472" s="73" t="str">
        <x:f>IF(A472="","",L472*(1+IF(J472="Buy Order",Settings!$B$16,0)))</x:f>
      </x:c>
      <x:c r="N472" s="73" t="str">
        <x:f>IF(A472="","",G472*M472)</x:f>
      </x:c>
    </x:row>
    <x:row r="473">
      <x:c r="A473" s="42"/>
      <x:c r="B473" s="42"/>
      <x:c r="C473" s="42"/>
      <x:c r="D473" s="42"/>
      <x:c r="E473" s="42"/>
      <x:c r="F473" s="42"/>
      <x:c r="G473" s="70"/>
      <x:c r="H473" s="42"/>
      <x:c r="I473" s="42"/>
      <x:c r="J473" s="42"/>
      <x:c r="K473" s="72"/>
      <x:c r="L473" s="73" t="str">
        <x:f>IF(A473="","",IF(K473&gt;0,K473,IF(J473="Buy Order",SUMIFS('Market Data'!$F$5:$F$504,'Market Data'!$A$5:$A$504,I473,'Market Data'!$B$5:$B$504,E473,'Market Data'!$D$5:$D$504,1),SUMIFS('Market Data'!$E$5:$E$504,'Market Data'!$A$5:$A$504,I473,'Market Data'!$B$5:$B$504,E473,'Market Data'!$D$5:$D$504,1))))</x:f>
      </x:c>
      <x:c r="M473" s="73" t="str">
        <x:f>IF(A473="","",L473*(1+IF(J473="Buy Order",Settings!$B$16,0)))</x:f>
      </x:c>
      <x:c r="N473" s="73" t="str">
        <x:f>IF(A473="","",G473*M473)</x:f>
      </x:c>
    </x:row>
    <x:row r="474">
      <x:c r="A474" s="42"/>
      <x:c r="B474" s="42"/>
      <x:c r="C474" s="42"/>
      <x:c r="D474" s="42"/>
      <x:c r="E474" s="42"/>
      <x:c r="F474" s="42"/>
      <x:c r="G474" s="70"/>
      <x:c r="H474" s="42"/>
      <x:c r="I474" s="42"/>
      <x:c r="J474" s="42"/>
      <x:c r="K474" s="72"/>
      <x:c r="L474" s="73" t="str">
        <x:f>IF(A474="","",IF(K474&gt;0,K474,IF(J474="Buy Order",SUMIFS('Market Data'!$F$5:$F$504,'Market Data'!$A$5:$A$504,I474,'Market Data'!$B$5:$B$504,E474,'Market Data'!$D$5:$D$504,1),SUMIFS('Market Data'!$E$5:$E$504,'Market Data'!$A$5:$A$504,I474,'Market Data'!$B$5:$B$504,E474,'Market Data'!$D$5:$D$504,1))))</x:f>
      </x:c>
      <x:c r="M474" s="73" t="str">
        <x:f>IF(A474="","",L474*(1+IF(J474="Buy Order",Settings!$B$16,0)))</x:f>
      </x:c>
      <x:c r="N474" s="73" t="str">
        <x:f>IF(A474="","",G474*M474)</x:f>
      </x:c>
    </x:row>
    <x:row r="475">
      <x:c r="A475" s="42"/>
      <x:c r="B475" s="42"/>
      <x:c r="C475" s="42"/>
      <x:c r="D475" s="42"/>
      <x:c r="E475" s="42"/>
      <x:c r="F475" s="42"/>
      <x:c r="G475" s="70"/>
      <x:c r="H475" s="42"/>
      <x:c r="I475" s="42"/>
      <x:c r="J475" s="42"/>
      <x:c r="K475" s="72"/>
      <x:c r="L475" s="73" t="str">
        <x:f>IF(A475="","",IF(K475&gt;0,K475,IF(J475="Buy Order",SUMIFS('Market Data'!$F$5:$F$504,'Market Data'!$A$5:$A$504,I475,'Market Data'!$B$5:$B$504,E475,'Market Data'!$D$5:$D$504,1),SUMIFS('Market Data'!$E$5:$E$504,'Market Data'!$A$5:$A$504,I475,'Market Data'!$B$5:$B$504,E475,'Market Data'!$D$5:$D$504,1))))</x:f>
      </x:c>
      <x:c r="M475" s="73" t="str">
        <x:f>IF(A475="","",L475*(1+IF(J475="Buy Order",Settings!$B$16,0)))</x:f>
      </x:c>
      <x:c r="N475" s="73" t="str">
        <x:f>IF(A475="","",G475*M475)</x:f>
      </x:c>
    </x:row>
    <x:row r="476">
      <x:c r="A476" s="42"/>
      <x:c r="B476" s="42"/>
      <x:c r="C476" s="42"/>
      <x:c r="D476" s="42"/>
      <x:c r="E476" s="42"/>
      <x:c r="F476" s="42"/>
      <x:c r="G476" s="70"/>
      <x:c r="H476" s="42"/>
      <x:c r="I476" s="42"/>
      <x:c r="J476" s="42"/>
      <x:c r="K476" s="72"/>
      <x:c r="L476" s="73" t="str">
        <x:f>IF(A476="","",IF(K476&gt;0,K476,IF(J476="Buy Order",SUMIFS('Market Data'!$F$5:$F$504,'Market Data'!$A$5:$A$504,I476,'Market Data'!$B$5:$B$504,E476,'Market Data'!$D$5:$D$504,1),SUMIFS('Market Data'!$E$5:$E$504,'Market Data'!$A$5:$A$504,I476,'Market Data'!$B$5:$B$504,E476,'Market Data'!$D$5:$D$504,1))))</x:f>
      </x:c>
      <x:c r="M476" s="73" t="str">
        <x:f>IF(A476="","",L476*(1+IF(J476="Buy Order",Settings!$B$16,0)))</x:f>
      </x:c>
      <x:c r="N476" s="73" t="str">
        <x:f>IF(A476="","",G476*M476)</x:f>
      </x:c>
    </x:row>
    <x:row r="477">
      <x:c r="A477" s="42"/>
      <x:c r="B477" s="42"/>
      <x:c r="C477" s="42"/>
      <x:c r="D477" s="42"/>
      <x:c r="E477" s="42"/>
      <x:c r="F477" s="42"/>
      <x:c r="G477" s="70"/>
      <x:c r="H477" s="42"/>
      <x:c r="I477" s="42"/>
      <x:c r="J477" s="42"/>
      <x:c r="K477" s="72"/>
      <x:c r="L477" s="73" t="str">
        <x:f>IF(A477="","",IF(K477&gt;0,K477,IF(J477="Buy Order",SUMIFS('Market Data'!$F$5:$F$504,'Market Data'!$A$5:$A$504,I477,'Market Data'!$B$5:$B$504,E477,'Market Data'!$D$5:$D$504,1),SUMIFS('Market Data'!$E$5:$E$504,'Market Data'!$A$5:$A$504,I477,'Market Data'!$B$5:$B$504,E477,'Market Data'!$D$5:$D$504,1))))</x:f>
      </x:c>
      <x:c r="M477" s="73" t="str">
        <x:f>IF(A477="","",L477*(1+IF(J477="Buy Order",Settings!$B$16,0)))</x:f>
      </x:c>
      <x:c r="N477" s="73" t="str">
        <x:f>IF(A477="","",G477*M477)</x:f>
      </x:c>
    </x:row>
    <x:row r="478">
      <x:c r="A478" s="42"/>
      <x:c r="B478" s="42"/>
      <x:c r="C478" s="42"/>
      <x:c r="D478" s="42"/>
      <x:c r="E478" s="42"/>
      <x:c r="F478" s="42"/>
      <x:c r="G478" s="70"/>
      <x:c r="H478" s="42"/>
      <x:c r="I478" s="42"/>
      <x:c r="J478" s="42"/>
      <x:c r="K478" s="72"/>
      <x:c r="L478" s="73" t="str">
        <x:f>IF(A478="","",IF(K478&gt;0,K478,IF(J478="Buy Order",SUMIFS('Market Data'!$F$5:$F$504,'Market Data'!$A$5:$A$504,I478,'Market Data'!$B$5:$B$504,E478,'Market Data'!$D$5:$D$504,1),SUMIFS('Market Data'!$E$5:$E$504,'Market Data'!$A$5:$A$504,I478,'Market Data'!$B$5:$B$504,E478,'Market Data'!$D$5:$D$504,1))))</x:f>
      </x:c>
      <x:c r="M478" s="73" t="str">
        <x:f>IF(A478="","",L478*(1+IF(J478="Buy Order",Settings!$B$16,0)))</x:f>
      </x:c>
      <x:c r="N478" s="73" t="str">
        <x:f>IF(A478="","",G478*M478)</x:f>
      </x:c>
    </x:row>
    <x:row r="479">
      <x:c r="A479" s="42"/>
      <x:c r="B479" s="42"/>
      <x:c r="C479" s="42"/>
      <x:c r="D479" s="42"/>
      <x:c r="E479" s="42"/>
      <x:c r="F479" s="42"/>
      <x:c r="G479" s="70"/>
      <x:c r="H479" s="42"/>
      <x:c r="I479" s="42"/>
      <x:c r="J479" s="42"/>
      <x:c r="K479" s="72"/>
      <x:c r="L479" s="73" t="str">
        <x:f>IF(A479="","",IF(K479&gt;0,K479,IF(J479="Buy Order",SUMIFS('Market Data'!$F$5:$F$504,'Market Data'!$A$5:$A$504,I479,'Market Data'!$B$5:$B$504,E479,'Market Data'!$D$5:$D$504,1),SUMIFS('Market Data'!$E$5:$E$504,'Market Data'!$A$5:$A$504,I479,'Market Data'!$B$5:$B$504,E479,'Market Data'!$D$5:$D$504,1))))</x:f>
      </x:c>
      <x:c r="M479" s="73" t="str">
        <x:f>IF(A479="","",L479*(1+IF(J479="Buy Order",Settings!$B$16,0)))</x:f>
      </x:c>
      <x:c r="N479" s="73" t="str">
        <x:f>IF(A479="","",G479*M479)</x:f>
      </x:c>
    </x:row>
    <x:row r="480">
      <x:c r="A480" s="42"/>
      <x:c r="B480" s="42"/>
      <x:c r="C480" s="42"/>
      <x:c r="D480" s="42"/>
      <x:c r="E480" s="42"/>
      <x:c r="F480" s="42"/>
      <x:c r="G480" s="70"/>
      <x:c r="H480" s="42"/>
      <x:c r="I480" s="42"/>
      <x:c r="J480" s="42"/>
      <x:c r="K480" s="72"/>
      <x:c r="L480" s="73" t="str">
        <x:f>IF(A480="","",IF(K480&gt;0,K480,IF(J480="Buy Order",SUMIFS('Market Data'!$F$5:$F$504,'Market Data'!$A$5:$A$504,I480,'Market Data'!$B$5:$B$504,E480,'Market Data'!$D$5:$D$504,1),SUMIFS('Market Data'!$E$5:$E$504,'Market Data'!$A$5:$A$504,I480,'Market Data'!$B$5:$B$504,E480,'Market Data'!$D$5:$D$504,1))))</x:f>
      </x:c>
      <x:c r="M480" s="73" t="str">
        <x:f>IF(A480="","",L480*(1+IF(J480="Buy Order",Settings!$B$16,0)))</x:f>
      </x:c>
      <x:c r="N480" s="73" t="str">
        <x:f>IF(A480="","",G480*M480)</x:f>
      </x:c>
    </x:row>
    <x:row r="481">
      <x:c r="A481" s="42"/>
      <x:c r="B481" s="42"/>
      <x:c r="C481" s="42"/>
      <x:c r="D481" s="42"/>
      <x:c r="E481" s="42"/>
      <x:c r="F481" s="42"/>
      <x:c r="G481" s="70"/>
      <x:c r="H481" s="42"/>
      <x:c r="I481" s="42"/>
      <x:c r="J481" s="42"/>
      <x:c r="K481" s="72"/>
      <x:c r="L481" s="73" t="str">
        <x:f>IF(A481="","",IF(K481&gt;0,K481,IF(J481="Buy Order",SUMIFS('Market Data'!$F$5:$F$504,'Market Data'!$A$5:$A$504,I481,'Market Data'!$B$5:$B$504,E481,'Market Data'!$D$5:$D$504,1),SUMIFS('Market Data'!$E$5:$E$504,'Market Data'!$A$5:$A$504,I481,'Market Data'!$B$5:$B$504,E481,'Market Data'!$D$5:$D$504,1))))</x:f>
      </x:c>
      <x:c r="M481" s="73" t="str">
        <x:f>IF(A481="","",L481*(1+IF(J481="Buy Order",Settings!$B$16,0)))</x:f>
      </x:c>
      <x:c r="N481" s="73" t="str">
        <x:f>IF(A481="","",G481*M481)</x:f>
      </x:c>
    </x:row>
    <x:row r="482">
      <x:c r="A482" s="42"/>
      <x:c r="B482" s="42"/>
      <x:c r="C482" s="42"/>
      <x:c r="D482" s="42"/>
      <x:c r="E482" s="42"/>
      <x:c r="F482" s="42"/>
      <x:c r="G482" s="70"/>
      <x:c r="H482" s="42"/>
      <x:c r="I482" s="42"/>
      <x:c r="J482" s="42"/>
      <x:c r="K482" s="72"/>
      <x:c r="L482" s="73" t="str">
        <x:f>IF(A482="","",IF(K482&gt;0,K482,IF(J482="Buy Order",SUMIFS('Market Data'!$F$5:$F$504,'Market Data'!$A$5:$A$504,I482,'Market Data'!$B$5:$B$504,E482,'Market Data'!$D$5:$D$504,1),SUMIFS('Market Data'!$E$5:$E$504,'Market Data'!$A$5:$A$504,I482,'Market Data'!$B$5:$B$504,E482,'Market Data'!$D$5:$D$504,1))))</x:f>
      </x:c>
      <x:c r="M482" s="73" t="str">
        <x:f>IF(A482="","",L482*(1+IF(J482="Buy Order",Settings!$B$16,0)))</x:f>
      </x:c>
      <x:c r="N482" s="73" t="str">
        <x:f>IF(A482="","",G482*M482)</x:f>
      </x:c>
    </x:row>
    <x:row r="483">
      <x:c r="A483" s="42"/>
      <x:c r="B483" s="42"/>
      <x:c r="C483" s="42"/>
      <x:c r="D483" s="42"/>
      <x:c r="E483" s="42"/>
      <x:c r="F483" s="42"/>
      <x:c r="G483" s="70"/>
      <x:c r="H483" s="42"/>
      <x:c r="I483" s="42"/>
      <x:c r="J483" s="42"/>
      <x:c r="K483" s="72"/>
      <x:c r="L483" s="73" t="str">
        <x:f>IF(A483="","",IF(K483&gt;0,K483,IF(J483="Buy Order",SUMIFS('Market Data'!$F$5:$F$504,'Market Data'!$A$5:$A$504,I483,'Market Data'!$B$5:$B$504,E483,'Market Data'!$D$5:$D$504,1),SUMIFS('Market Data'!$E$5:$E$504,'Market Data'!$A$5:$A$504,I483,'Market Data'!$B$5:$B$504,E483,'Market Data'!$D$5:$D$504,1))))</x:f>
      </x:c>
      <x:c r="M483" s="73" t="str">
        <x:f>IF(A483="","",L483*(1+IF(J483="Buy Order",Settings!$B$16,0)))</x:f>
      </x:c>
      <x:c r="N483" s="73" t="str">
        <x:f>IF(A483="","",G483*M483)</x:f>
      </x:c>
    </x:row>
    <x:row r="484">
      <x:c r="A484" s="42"/>
      <x:c r="B484" s="42"/>
      <x:c r="C484" s="42"/>
      <x:c r="D484" s="42"/>
      <x:c r="E484" s="42"/>
      <x:c r="F484" s="42"/>
      <x:c r="G484" s="70"/>
      <x:c r="H484" s="42"/>
      <x:c r="I484" s="42"/>
      <x:c r="J484" s="42"/>
      <x:c r="K484" s="72"/>
      <x:c r="L484" s="73" t="str">
        <x:f>IF(A484="","",IF(K484&gt;0,K484,IF(J484="Buy Order",SUMIFS('Market Data'!$F$5:$F$504,'Market Data'!$A$5:$A$504,I484,'Market Data'!$B$5:$B$504,E484,'Market Data'!$D$5:$D$504,1),SUMIFS('Market Data'!$E$5:$E$504,'Market Data'!$A$5:$A$504,I484,'Market Data'!$B$5:$B$504,E484,'Market Data'!$D$5:$D$504,1))))</x:f>
      </x:c>
      <x:c r="M484" s="73" t="str">
        <x:f>IF(A484="","",L484*(1+IF(J484="Buy Order",Settings!$B$16,0)))</x:f>
      </x:c>
      <x:c r="N484" s="73" t="str">
        <x:f>IF(A484="","",G484*M484)</x:f>
      </x:c>
    </x:row>
    <x:row r="485">
      <x:c r="A485" s="42"/>
      <x:c r="B485" s="42"/>
      <x:c r="C485" s="42"/>
      <x:c r="D485" s="42"/>
      <x:c r="E485" s="42"/>
      <x:c r="F485" s="42"/>
      <x:c r="G485" s="70"/>
      <x:c r="H485" s="42"/>
      <x:c r="I485" s="42"/>
      <x:c r="J485" s="42"/>
      <x:c r="K485" s="72"/>
      <x:c r="L485" s="73" t="str">
        <x:f>IF(A485="","",IF(K485&gt;0,K485,IF(J485="Buy Order",SUMIFS('Market Data'!$F$5:$F$504,'Market Data'!$A$5:$A$504,I485,'Market Data'!$B$5:$B$504,E485,'Market Data'!$D$5:$D$504,1),SUMIFS('Market Data'!$E$5:$E$504,'Market Data'!$A$5:$A$504,I485,'Market Data'!$B$5:$B$504,E485,'Market Data'!$D$5:$D$504,1))))</x:f>
      </x:c>
      <x:c r="M485" s="73" t="str">
        <x:f>IF(A485="","",L485*(1+IF(J485="Buy Order",Settings!$B$16,0)))</x:f>
      </x:c>
      <x:c r="N485" s="73" t="str">
        <x:f>IF(A485="","",G485*M485)</x:f>
      </x:c>
    </x:row>
    <x:row r="486">
      <x:c r="A486" s="42"/>
      <x:c r="B486" s="42"/>
      <x:c r="C486" s="42"/>
      <x:c r="D486" s="42"/>
      <x:c r="E486" s="42"/>
      <x:c r="F486" s="42"/>
      <x:c r="G486" s="70"/>
      <x:c r="H486" s="42"/>
      <x:c r="I486" s="42"/>
      <x:c r="J486" s="42"/>
      <x:c r="K486" s="72"/>
      <x:c r="L486" s="73" t="str">
        <x:f>IF(A486="","",IF(K486&gt;0,K486,IF(J486="Buy Order",SUMIFS('Market Data'!$F$5:$F$504,'Market Data'!$A$5:$A$504,I486,'Market Data'!$B$5:$B$504,E486,'Market Data'!$D$5:$D$504,1),SUMIFS('Market Data'!$E$5:$E$504,'Market Data'!$A$5:$A$504,I486,'Market Data'!$B$5:$B$504,E486,'Market Data'!$D$5:$D$504,1))))</x:f>
      </x:c>
      <x:c r="M486" s="73" t="str">
        <x:f>IF(A486="","",L486*(1+IF(J486="Buy Order",Settings!$B$16,0)))</x:f>
      </x:c>
      <x:c r="N486" s="73" t="str">
        <x:f>IF(A486="","",G486*M486)</x:f>
      </x:c>
    </x:row>
    <x:row r="487">
      <x:c r="A487" s="42"/>
      <x:c r="B487" s="42"/>
      <x:c r="C487" s="42"/>
      <x:c r="D487" s="42"/>
      <x:c r="E487" s="42"/>
      <x:c r="F487" s="42"/>
      <x:c r="G487" s="70"/>
      <x:c r="H487" s="42"/>
      <x:c r="I487" s="42"/>
      <x:c r="J487" s="42"/>
      <x:c r="K487" s="72"/>
      <x:c r="L487" s="73" t="str">
        <x:f>IF(A487="","",IF(K487&gt;0,K487,IF(J487="Buy Order",SUMIFS('Market Data'!$F$5:$F$504,'Market Data'!$A$5:$A$504,I487,'Market Data'!$B$5:$B$504,E487,'Market Data'!$D$5:$D$504,1),SUMIFS('Market Data'!$E$5:$E$504,'Market Data'!$A$5:$A$504,I487,'Market Data'!$B$5:$B$504,E487,'Market Data'!$D$5:$D$504,1))))</x:f>
      </x:c>
      <x:c r="M487" s="73" t="str">
        <x:f>IF(A487="","",L487*(1+IF(J487="Buy Order",Settings!$B$16,0)))</x:f>
      </x:c>
      <x:c r="N487" s="73" t="str">
        <x:f>IF(A487="","",G487*M487)</x:f>
      </x:c>
    </x:row>
    <x:row r="488">
      <x:c r="A488" s="42"/>
      <x:c r="B488" s="42"/>
      <x:c r="C488" s="42"/>
      <x:c r="D488" s="42"/>
      <x:c r="E488" s="42"/>
      <x:c r="F488" s="42"/>
      <x:c r="G488" s="70"/>
      <x:c r="H488" s="42"/>
      <x:c r="I488" s="42"/>
      <x:c r="J488" s="42"/>
      <x:c r="K488" s="72"/>
      <x:c r="L488" s="73" t="str">
        <x:f>IF(A488="","",IF(K488&gt;0,K488,IF(J488="Buy Order",SUMIFS('Market Data'!$F$5:$F$504,'Market Data'!$A$5:$A$504,I488,'Market Data'!$B$5:$B$504,E488,'Market Data'!$D$5:$D$504,1),SUMIFS('Market Data'!$E$5:$E$504,'Market Data'!$A$5:$A$504,I488,'Market Data'!$B$5:$B$504,E488,'Market Data'!$D$5:$D$504,1))))</x:f>
      </x:c>
      <x:c r="M488" s="73" t="str">
        <x:f>IF(A488="","",L488*(1+IF(J488="Buy Order",Settings!$B$16,0)))</x:f>
      </x:c>
      <x:c r="N488" s="73" t="str">
        <x:f>IF(A488="","",G488*M488)</x:f>
      </x:c>
    </x:row>
    <x:row r="489">
      <x:c r="A489" s="42"/>
      <x:c r="B489" s="42"/>
      <x:c r="C489" s="42"/>
      <x:c r="D489" s="42"/>
      <x:c r="E489" s="42"/>
      <x:c r="F489" s="42"/>
      <x:c r="G489" s="70"/>
      <x:c r="H489" s="42"/>
      <x:c r="I489" s="42"/>
      <x:c r="J489" s="42"/>
      <x:c r="K489" s="72"/>
      <x:c r="L489" s="73" t="str">
        <x:f>IF(A489="","",IF(K489&gt;0,K489,IF(J489="Buy Order",SUMIFS('Market Data'!$F$5:$F$504,'Market Data'!$A$5:$A$504,I489,'Market Data'!$B$5:$B$504,E489,'Market Data'!$D$5:$D$504,1),SUMIFS('Market Data'!$E$5:$E$504,'Market Data'!$A$5:$A$504,I489,'Market Data'!$B$5:$B$504,E489,'Market Data'!$D$5:$D$504,1))))</x:f>
      </x:c>
      <x:c r="M489" s="73" t="str">
        <x:f>IF(A489="","",L489*(1+IF(J489="Buy Order",Settings!$B$16,0)))</x:f>
      </x:c>
      <x:c r="N489" s="73" t="str">
        <x:f>IF(A489="","",G489*M489)</x:f>
      </x:c>
    </x:row>
    <x:row r="490">
      <x:c r="A490" s="42"/>
      <x:c r="B490" s="42"/>
      <x:c r="C490" s="42"/>
      <x:c r="D490" s="42"/>
      <x:c r="E490" s="42"/>
      <x:c r="F490" s="42"/>
      <x:c r="G490" s="70"/>
      <x:c r="H490" s="42"/>
      <x:c r="I490" s="42"/>
      <x:c r="J490" s="42"/>
      <x:c r="K490" s="72"/>
      <x:c r="L490" s="73" t="str">
        <x:f>IF(A490="","",IF(K490&gt;0,K490,IF(J490="Buy Order",SUMIFS('Market Data'!$F$5:$F$504,'Market Data'!$A$5:$A$504,I490,'Market Data'!$B$5:$B$504,E490,'Market Data'!$D$5:$D$504,1),SUMIFS('Market Data'!$E$5:$E$504,'Market Data'!$A$5:$A$504,I490,'Market Data'!$B$5:$B$504,E490,'Market Data'!$D$5:$D$504,1))))</x:f>
      </x:c>
      <x:c r="M490" s="73" t="str">
        <x:f>IF(A490="","",L490*(1+IF(J490="Buy Order",Settings!$B$16,0)))</x:f>
      </x:c>
      <x:c r="N490" s="73" t="str">
        <x:f>IF(A490="","",G490*M490)</x:f>
      </x:c>
    </x:row>
    <x:row r="491">
      <x:c r="A491" s="42"/>
      <x:c r="B491" s="42"/>
      <x:c r="C491" s="42"/>
      <x:c r="D491" s="42"/>
      <x:c r="E491" s="42"/>
      <x:c r="F491" s="42"/>
      <x:c r="G491" s="70"/>
      <x:c r="H491" s="42"/>
      <x:c r="I491" s="42"/>
      <x:c r="J491" s="42"/>
      <x:c r="K491" s="72"/>
      <x:c r="L491" s="73" t="str">
        <x:f>IF(A491="","",IF(K491&gt;0,K491,IF(J491="Buy Order",SUMIFS('Market Data'!$F$5:$F$504,'Market Data'!$A$5:$A$504,I491,'Market Data'!$B$5:$B$504,E491,'Market Data'!$D$5:$D$504,1),SUMIFS('Market Data'!$E$5:$E$504,'Market Data'!$A$5:$A$504,I491,'Market Data'!$B$5:$B$504,E491,'Market Data'!$D$5:$D$504,1))))</x:f>
      </x:c>
      <x:c r="M491" s="73" t="str">
        <x:f>IF(A491="","",L491*(1+IF(J491="Buy Order",Settings!$B$16,0)))</x:f>
      </x:c>
      <x:c r="N491" s="73" t="str">
        <x:f>IF(A491="","",G491*M491)</x:f>
      </x:c>
    </x:row>
    <x:row r="492">
      <x:c r="A492" s="42"/>
      <x:c r="B492" s="42"/>
      <x:c r="C492" s="42"/>
      <x:c r="D492" s="42"/>
      <x:c r="E492" s="42"/>
      <x:c r="F492" s="42"/>
      <x:c r="G492" s="70"/>
      <x:c r="H492" s="42"/>
      <x:c r="I492" s="42"/>
      <x:c r="J492" s="42"/>
      <x:c r="K492" s="72"/>
      <x:c r="L492" s="73" t="str">
        <x:f>IF(A492="","",IF(K492&gt;0,K492,IF(J492="Buy Order",SUMIFS('Market Data'!$F$5:$F$504,'Market Data'!$A$5:$A$504,I492,'Market Data'!$B$5:$B$504,E492,'Market Data'!$D$5:$D$504,1),SUMIFS('Market Data'!$E$5:$E$504,'Market Data'!$A$5:$A$504,I492,'Market Data'!$B$5:$B$504,E492,'Market Data'!$D$5:$D$504,1))))</x:f>
      </x:c>
      <x:c r="M492" s="73" t="str">
        <x:f>IF(A492="","",L492*(1+IF(J492="Buy Order",Settings!$B$16,0)))</x:f>
      </x:c>
      <x:c r="N492" s="73" t="str">
        <x:f>IF(A492="","",G492*M492)</x:f>
      </x:c>
    </x:row>
    <x:row r="493">
      <x:c r="A493" s="42"/>
      <x:c r="B493" s="42"/>
      <x:c r="C493" s="42"/>
      <x:c r="D493" s="42"/>
      <x:c r="E493" s="42"/>
      <x:c r="F493" s="42"/>
      <x:c r="G493" s="70"/>
      <x:c r="H493" s="42"/>
      <x:c r="I493" s="42"/>
      <x:c r="J493" s="42"/>
      <x:c r="K493" s="72"/>
      <x:c r="L493" s="73" t="str">
        <x:f>IF(A493="","",IF(K493&gt;0,K493,IF(J493="Buy Order",SUMIFS('Market Data'!$F$5:$F$504,'Market Data'!$A$5:$A$504,I493,'Market Data'!$B$5:$B$504,E493,'Market Data'!$D$5:$D$504,1),SUMIFS('Market Data'!$E$5:$E$504,'Market Data'!$A$5:$A$504,I493,'Market Data'!$B$5:$B$504,E493,'Market Data'!$D$5:$D$504,1))))</x:f>
      </x:c>
      <x:c r="M493" s="73" t="str">
        <x:f>IF(A493="","",L493*(1+IF(J493="Buy Order",Settings!$B$16,0)))</x:f>
      </x:c>
      <x:c r="N493" s="73" t="str">
        <x:f>IF(A493="","",G493*M493)</x:f>
      </x:c>
    </x:row>
    <x:row r="494">
      <x:c r="A494" s="42"/>
      <x:c r="B494" s="42"/>
      <x:c r="C494" s="42"/>
      <x:c r="D494" s="42"/>
      <x:c r="E494" s="42"/>
      <x:c r="F494" s="42"/>
      <x:c r="G494" s="70"/>
      <x:c r="H494" s="42"/>
      <x:c r="I494" s="42"/>
      <x:c r="J494" s="42"/>
      <x:c r="K494" s="72"/>
      <x:c r="L494" s="73" t="str">
        <x:f>IF(A494="","",IF(K494&gt;0,K494,IF(J494="Buy Order",SUMIFS('Market Data'!$F$5:$F$504,'Market Data'!$A$5:$A$504,I494,'Market Data'!$B$5:$B$504,E494,'Market Data'!$D$5:$D$504,1),SUMIFS('Market Data'!$E$5:$E$504,'Market Data'!$A$5:$A$504,I494,'Market Data'!$B$5:$B$504,E494,'Market Data'!$D$5:$D$504,1))))</x:f>
      </x:c>
      <x:c r="M494" s="73" t="str">
        <x:f>IF(A494="","",L494*(1+IF(J494="Buy Order",Settings!$B$16,0)))</x:f>
      </x:c>
      <x:c r="N494" s="73" t="str">
        <x:f>IF(A494="","",G494*M494)</x:f>
      </x:c>
    </x:row>
    <x:row r="495">
      <x:c r="A495" s="42"/>
      <x:c r="B495" s="42"/>
      <x:c r="C495" s="42"/>
      <x:c r="D495" s="42"/>
      <x:c r="E495" s="42"/>
      <x:c r="F495" s="42"/>
      <x:c r="G495" s="70"/>
      <x:c r="H495" s="42"/>
      <x:c r="I495" s="42"/>
      <x:c r="J495" s="42"/>
      <x:c r="K495" s="72"/>
      <x:c r="L495" s="73" t="str">
        <x:f>IF(A495="","",IF(K495&gt;0,K495,IF(J495="Buy Order",SUMIFS('Market Data'!$F$5:$F$504,'Market Data'!$A$5:$A$504,I495,'Market Data'!$B$5:$B$504,E495,'Market Data'!$D$5:$D$504,1),SUMIFS('Market Data'!$E$5:$E$504,'Market Data'!$A$5:$A$504,I495,'Market Data'!$B$5:$B$504,E495,'Market Data'!$D$5:$D$504,1))))</x:f>
      </x:c>
      <x:c r="M495" s="73" t="str">
        <x:f>IF(A495="","",L495*(1+IF(J495="Buy Order",Settings!$B$16,0)))</x:f>
      </x:c>
      <x:c r="N495" s="73" t="str">
        <x:f>IF(A495="","",G495*M495)</x:f>
      </x:c>
    </x:row>
    <x:row r="496">
      <x:c r="A496" s="42"/>
      <x:c r="B496" s="42"/>
      <x:c r="C496" s="42"/>
      <x:c r="D496" s="42"/>
      <x:c r="E496" s="42"/>
      <x:c r="F496" s="42"/>
      <x:c r="G496" s="70"/>
      <x:c r="H496" s="42"/>
      <x:c r="I496" s="42"/>
      <x:c r="J496" s="42"/>
      <x:c r="K496" s="72"/>
      <x:c r="L496" s="73" t="str">
        <x:f>IF(A496="","",IF(K496&gt;0,K496,IF(J496="Buy Order",SUMIFS('Market Data'!$F$5:$F$504,'Market Data'!$A$5:$A$504,I496,'Market Data'!$B$5:$B$504,E496,'Market Data'!$D$5:$D$504,1),SUMIFS('Market Data'!$E$5:$E$504,'Market Data'!$A$5:$A$504,I496,'Market Data'!$B$5:$B$504,E496,'Market Data'!$D$5:$D$504,1))))</x:f>
      </x:c>
      <x:c r="M496" s="73" t="str">
        <x:f>IF(A496="","",L496*(1+IF(J496="Buy Order",Settings!$B$16,0)))</x:f>
      </x:c>
      <x:c r="N496" s="73" t="str">
        <x:f>IF(A496="","",G496*M496)</x:f>
      </x:c>
    </x:row>
    <x:row r="497">
      <x:c r="A497" s="42"/>
      <x:c r="B497" s="42"/>
      <x:c r="C497" s="42"/>
      <x:c r="D497" s="42"/>
      <x:c r="E497" s="42"/>
      <x:c r="F497" s="42"/>
      <x:c r="G497" s="70"/>
      <x:c r="H497" s="42"/>
      <x:c r="I497" s="42"/>
      <x:c r="J497" s="42"/>
      <x:c r="K497" s="72"/>
      <x:c r="L497" s="73" t="str">
        <x:f>IF(A497="","",IF(K497&gt;0,K497,IF(J497="Buy Order",SUMIFS('Market Data'!$F$5:$F$504,'Market Data'!$A$5:$A$504,I497,'Market Data'!$B$5:$B$504,E497,'Market Data'!$D$5:$D$504,1),SUMIFS('Market Data'!$E$5:$E$504,'Market Data'!$A$5:$A$504,I497,'Market Data'!$B$5:$B$504,E497,'Market Data'!$D$5:$D$504,1))))</x:f>
      </x:c>
      <x:c r="M497" s="73" t="str">
        <x:f>IF(A497="","",L497*(1+IF(J497="Buy Order",Settings!$B$16,0)))</x:f>
      </x:c>
      <x:c r="N497" s="73" t="str">
        <x:f>IF(A497="","",G497*M497)</x:f>
      </x:c>
    </x:row>
    <x:row r="498">
      <x:c r="A498" s="42"/>
      <x:c r="B498" s="42"/>
      <x:c r="C498" s="42"/>
      <x:c r="D498" s="42"/>
      <x:c r="E498" s="42"/>
      <x:c r="F498" s="42"/>
      <x:c r="G498" s="70"/>
      <x:c r="H498" s="42"/>
      <x:c r="I498" s="42"/>
      <x:c r="J498" s="42"/>
      <x:c r="K498" s="72"/>
      <x:c r="L498" s="73" t="str">
        <x:f>IF(A498="","",IF(K498&gt;0,K498,IF(J498="Buy Order",SUMIFS('Market Data'!$F$5:$F$504,'Market Data'!$A$5:$A$504,I498,'Market Data'!$B$5:$B$504,E498,'Market Data'!$D$5:$D$504,1),SUMIFS('Market Data'!$E$5:$E$504,'Market Data'!$A$5:$A$504,I498,'Market Data'!$B$5:$B$504,E498,'Market Data'!$D$5:$D$504,1))))</x:f>
      </x:c>
      <x:c r="M498" s="73" t="str">
        <x:f>IF(A498="","",L498*(1+IF(J498="Buy Order",Settings!$B$16,0)))</x:f>
      </x:c>
      <x:c r="N498" s="73" t="str">
        <x:f>IF(A498="","",G498*M498)</x:f>
      </x:c>
    </x:row>
    <x:row r="499">
      <x:c r="A499" s="42"/>
      <x:c r="B499" s="42"/>
      <x:c r="C499" s="42"/>
      <x:c r="D499" s="42"/>
      <x:c r="E499" s="42"/>
      <x:c r="F499" s="42"/>
      <x:c r="G499" s="70"/>
      <x:c r="H499" s="42"/>
      <x:c r="I499" s="42"/>
      <x:c r="J499" s="42"/>
      <x:c r="K499" s="72"/>
      <x:c r="L499" s="73" t="str">
        <x:f>IF(A499="","",IF(K499&gt;0,K499,IF(J499="Buy Order",SUMIFS('Market Data'!$F$5:$F$504,'Market Data'!$A$5:$A$504,I499,'Market Data'!$B$5:$B$504,E499,'Market Data'!$D$5:$D$504,1),SUMIFS('Market Data'!$E$5:$E$504,'Market Data'!$A$5:$A$504,I499,'Market Data'!$B$5:$B$504,E499,'Market Data'!$D$5:$D$504,1))))</x:f>
      </x:c>
      <x:c r="M499" s="73" t="str">
        <x:f>IF(A499="","",L499*(1+IF(J499="Buy Order",Settings!$B$16,0)))</x:f>
      </x:c>
      <x:c r="N499" s="73" t="str">
        <x:f>IF(A499="","",G499*M499)</x:f>
      </x:c>
    </x:row>
    <x:row r="500">
      <x:c r="A500" s="42"/>
      <x:c r="B500" s="42"/>
      <x:c r="C500" s="42"/>
      <x:c r="D500" s="42"/>
      <x:c r="E500" s="42"/>
      <x:c r="F500" s="42"/>
      <x:c r="G500" s="70"/>
      <x:c r="H500" s="42"/>
      <x:c r="I500" s="42"/>
      <x:c r="J500" s="42"/>
      <x:c r="K500" s="72"/>
      <x:c r="L500" s="73" t="str">
        <x:f>IF(A500="","",IF(K500&gt;0,K500,IF(J500="Buy Order",SUMIFS('Market Data'!$F$5:$F$504,'Market Data'!$A$5:$A$504,I500,'Market Data'!$B$5:$B$504,E500,'Market Data'!$D$5:$D$504,1),SUMIFS('Market Data'!$E$5:$E$504,'Market Data'!$A$5:$A$504,I500,'Market Data'!$B$5:$B$504,E500,'Market Data'!$D$5:$D$504,1))))</x:f>
      </x:c>
      <x:c r="M500" s="73" t="str">
        <x:f>IF(A500="","",L500*(1+IF(J500="Buy Order",Settings!$B$16,0)))</x:f>
      </x:c>
      <x:c r="N500" s="73" t="str">
        <x:f>IF(A500="","",G500*M500)</x:f>
      </x:c>
    </x:row>
    <x:row r="501">
      <x:c r="A501" s="42"/>
      <x:c r="B501" s="42"/>
      <x:c r="C501" s="42"/>
      <x:c r="D501" s="42"/>
      <x:c r="E501" s="42"/>
      <x:c r="F501" s="42"/>
      <x:c r="G501" s="70"/>
      <x:c r="H501" s="42"/>
      <x:c r="I501" s="42"/>
      <x:c r="J501" s="42"/>
      <x:c r="K501" s="72"/>
      <x:c r="L501" s="73" t="str">
        <x:f>IF(A501="","",IF(K501&gt;0,K501,IF(J501="Buy Order",SUMIFS('Market Data'!$F$5:$F$504,'Market Data'!$A$5:$A$504,I501,'Market Data'!$B$5:$B$504,E501,'Market Data'!$D$5:$D$504,1),SUMIFS('Market Data'!$E$5:$E$504,'Market Data'!$A$5:$A$504,I501,'Market Data'!$B$5:$B$504,E501,'Market Data'!$D$5:$D$504,1))))</x:f>
      </x:c>
      <x:c r="M501" s="73" t="str">
        <x:f>IF(A501="","",L501*(1+IF(J501="Buy Order",Settings!$B$16,0)))</x:f>
      </x:c>
      <x:c r="N501" s="73" t="str">
        <x:f>IF(A501="","",G501*M501)</x:f>
      </x:c>
    </x:row>
    <x:row r="502">
      <x:c r="A502" s="42"/>
      <x:c r="B502" s="42"/>
      <x:c r="C502" s="42"/>
      <x:c r="D502" s="42"/>
      <x:c r="E502" s="42"/>
      <x:c r="F502" s="42"/>
      <x:c r="G502" s="70"/>
      <x:c r="H502" s="42"/>
      <x:c r="I502" s="42"/>
      <x:c r="J502" s="42"/>
      <x:c r="K502" s="72"/>
      <x:c r="L502" s="73" t="str">
        <x:f>IF(A502="","",IF(K502&gt;0,K502,IF(J502="Buy Order",SUMIFS('Market Data'!$F$5:$F$504,'Market Data'!$A$5:$A$504,I502,'Market Data'!$B$5:$B$504,E502,'Market Data'!$D$5:$D$504,1),SUMIFS('Market Data'!$E$5:$E$504,'Market Data'!$A$5:$A$504,I502,'Market Data'!$B$5:$B$504,E502,'Market Data'!$D$5:$D$504,1))))</x:f>
      </x:c>
      <x:c r="M502" s="73" t="str">
        <x:f>IF(A502="","",L502*(1+IF(J502="Buy Order",Settings!$B$16,0)))</x:f>
      </x:c>
      <x:c r="N502" s="73" t="str">
        <x:f>IF(A502="","",G502*M502)</x:f>
      </x:c>
    </x:row>
    <x:row r="503">
      <x:c r="A503" s="42"/>
      <x:c r="B503" s="42"/>
      <x:c r="C503" s="42"/>
      <x:c r="D503" s="42"/>
      <x:c r="E503" s="42"/>
      <x:c r="F503" s="42"/>
      <x:c r="G503" s="70"/>
      <x:c r="H503" s="42"/>
      <x:c r="I503" s="42"/>
      <x:c r="J503" s="42"/>
      <x:c r="K503" s="72"/>
      <x:c r="L503" s="73" t="str">
        <x:f>IF(A503="","",IF(K503&gt;0,K503,IF(J503="Buy Order",SUMIFS('Market Data'!$F$5:$F$504,'Market Data'!$A$5:$A$504,I503,'Market Data'!$B$5:$B$504,E503,'Market Data'!$D$5:$D$504,1),SUMIFS('Market Data'!$E$5:$E$504,'Market Data'!$A$5:$A$504,I503,'Market Data'!$B$5:$B$504,E503,'Market Data'!$D$5:$D$504,1))))</x:f>
      </x:c>
      <x:c r="M503" s="73" t="str">
        <x:f>IF(A503="","",L503*(1+IF(J503="Buy Order",Settings!$B$16,0)))</x:f>
      </x:c>
      <x:c r="N503" s="73" t="str">
        <x:f>IF(A503="","",G503*M503)</x:f>
      </x:c>
    </x:row>
    <x:row r="504">
      <x:c r="A504" s="42"/>
      <x:c r="B504" s="42"/>
      <x:c r="C504" s="42"/>
      <x:c r="D504" s="42"/>
      <x:c r="E504" s="42"/>
      <x:c r="F504" s="42"/>
      <x:c r="G504" s="70"/>
      <x:c r="H504" s="42"/>
      <x:c r="I504" s="42"/>
      <x:c r="J504" s="42"/>
      <x:c r="K504" s="72"/>
      <x:c r="L504" s="73" t="str">
        <x:f>IF(A504="","",IF(K504&gt;0,K504,IF(J504="Buy Order",SUMIFS('Market Data'!$F$5:$F$504,'Market Data'!$A$5:$A$504,I504,'Market Data'!$B$5:$B$504,E504,'Market Data'!$D$5:$D$504,1),SUMIFS('Market Data'!$E$5:$E$504,'Market Data'!$A$5:$A$504,I504,'Market Data'!$B$5:$B$504,E504,'Market Data'!$D$5:$D$504,1))))</x:f>
      </x:c>
      <x:c r="M504" s="73" t="str">
        <x:f>IF(A504="","",L504*(1+IF(J504="Buy Order",Settings!$B$16,0)))</x:f>
      </x:c>
      <x:c r="N504" s="73" t="str">
        <x:f>IF(A504="","",G504*M504)</x:f>
      </x:c>
    </x:row>
  </x:sheetData>
  <x:mergeCells>
    <x:mergeCell ref="A1:N1"/>
    <x:mergeCell ref="A2:N2"/>
  </x:mergeCells>
  <x:dataValidations count="2">
    <x:dataValidation type="list" sqref="H5:H504">
      <x:formula1>"Yes,No"</x:formula1>
    </x:dataValidation>
    <x:dataValidation type="list" sqref="J5:J504">
      <x:formula1>"Instant Buy,Buy Order"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11" hidden="0" customWidth="1"/>
    <x:col min="5" max="5" width="16" hidden="0" customWidth="1"/>
    <x:col min="6" max="6" width="14" hidden="0" customWidth="1"/>
    <x:col min="7" max="7" width="9" hidden="0" customWidth="1"/>
    <x:col min="8" max="8" width="16" hidden="0" customWidth="1"/>
    <x:col min="9" max="9" width="14" hidden="0" customWidth="1"/>
    <x:col min="10" max="10" width="12" hidden="0" customWidth="1"/>
    <x:col min="11" max="11" width="11" hidden="0" customWidth="1"/>
    <x:col min="12" max="12" width="14" hidden="0" customWidth="1"/>
    <x:col min="13" max="13" width="10" hidden="0" customWidth="1"/>
    <x:col min="14" max="14" width="16" hidden="0" customWidth="1"/>
    <x:col min="15" max="15" width="18" hidden="0" customWidth="1"/>
    <x:col min="16" max="16" width="17" hidden="0" customWidth="1"/>
    <x:col min="17" max="17" width="15" hidden="0" customWidth="1"/>
    <x:col min="18" max="18" width="12" hidden="0" customWidth="1"/>
    <x:col min="19" max="19" width="14" hidden="0" customWidth="1"/>
    <x:col min="20" max="20" width="18" hidden="0" customWidth="1"/>
    <x:col min="21" max="21" width="16" hidden="0" customWidth="1"/>
    <x:col min="22" max="22" width="15" hidden="0" customWidth="1"/>
    <x:col min="23" max="23" width="14" hidden="0" customWidth="1"/>
    <x:col min="24" max="24" width="14" hidden="0" customWidth="1"/>
    <x:col min="25" max="25" width="16" hidden="0" customWidth="1"/>
    <x:col min="26" max="26" width="11" hidden="0" customWidth="1"/>
    <x:col min="27" max="27" width="14" hidden="0" customWidth="1"/>
    <x:col min="28" max="28" width="18" hidden="0" customWidth="1"/>
    <x:col min="29" max="29" width="16" hidden="0" customWidth="1"/>
    <x:col min="30" max="30" width="16" hidden="0" customWidth="1"/>
    <x:col min="31" max="31" width="15" hidden="0" customWidth="1"/>
    <x:col min="32" max="32" width="18" hidden="0" customWidth="1"/>
    <x:col min="33" max="33" width="11" hidden="0" customWidth="1"/>
    <x:col min="34" max="34" width="13" hidden="0" customWidth="1"/>
    <x:col min="36" max="36" width="20" hidden="0" customWidth="1"/>
    <x:col min="37" max="37" width="16" hidden="0" customWidth="1"/>
  </x:cols>
  <x:sheetData>
    <x:row r="1">
      <x:c r="A1" s="5" t="str">
        <x:v>Craft Scanner — compare profitability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</x:row>
    <x:row r="2">
      <x:c r="A2" s="65" t="str">
        <x:v>Enter yellow cells. Green cells calculate automatically. Use Price Override to model a specific quality or your own expected sale price.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  <x:c r="AA2" s="65"/>
      <x:c r="AB2" s="65"/>
      <x:c r="AC2" s="65"/>
      <x:c r="AD2" s="65"/>
      <x:c r="AE2" s="65"/>
      <x:c r="AF2" s="65"/>
      <x:c r="AG2" s="65"/>
      <x:c r="AH2" s="65"/>
    </x:row>
    <x:row r="4" ht="42" customHeight="1">
      <x:c r="A4" s="36" t="str">
        <x:v>Craft Key</x:v>
      </x:c>
      <x:c r="B4" s="36" t="str">
        <x:v>Output Item ID</x:v>
      </x:c>
      <x:c r="C4" s="36" t="str">
        <x:v>Output Name</x:v>
      </x:c>
      <x:c r="D4" s="36" t="str">
        <x:v>Output Qty</x:v>
      </x:c>
      <x:c r="E4" s="36" t="str">
        <x:v>Sell City</x:v>
      </x:c>
      <x:c r="F4" s="36" t="str">
        <x:v>Sale Method</x:v>
      </x:c>
      <x:c r="G4" s="36" t="str">
        <x:v>Quality</x:v>
      </x:c>
      <x:c r="H4" s="36" t="str">
        <x:v>Sell Price Override</x:v>
      </x:c>
      <x:c r="I4" s="36" t="str">
        <x:v>Local Prod Bonus</x:v>
      </x:c>
      <x:c r="J4" s="36" t="str">
        <x:v>Daily Bonus</x:v>
      </x:c>
      <x:c r="K4" s="36" t="str">
        <x:v>Use Focus</x:v>
      </x:c>
      <x:c r="L4" s="36" t="str">
        <x:v>Total Prod Bonus</x:v>
      </x:c>
      <x:c r="M4" s="36" t="str">
        <x:v>RRR</x:v>
      </x:c>
      <x:c r="N4" s="36" t="str">
        <x:v>Returnable Mats Gross</x:v>
      </x:c>
      <x:c r="O4" s="36" t="str">
        <x:v>Non-returnable Mats Gross</x:v>
      </x:c>
      <x:c r="P4" s="36" t="str">
        <x:v>Effective Materials</x:v>
      </x:c>
      <x:c r="Q4" s="36" t="str">
        <x:v>Station Usage Fee</x:v>
      </x:c>
      <x:c r="R4" s="36" t="str">
        <x:v>Item Value</x:v>
      </x:c>
      <x:c r="S4" s="36" t="str">
        <x:v>Station Cost</x:v>
      </x:c>
      <x:c r="T4" s="36" t="str">
        <x:v>Journal / Other Revenue</x:v>
      </x:c>
      <x:c r="U4" s="36" t="str">
        <x:v>Output Unit Price</x:v>
      </x:c>
      <x:c r="V4" s="36" t="str">
        <x:v>Gross Revenue</x:v>
      </x:c>
      <x:c r="W4" s="36" t="str">
        <x:v>Market Fees</x:v>
      </x:c>
      <x:c r="X4" s="36" t="str">
        <x:v>Net Revenue</x:v>
      </x:c>
      <x:c r="Y4" s="36" t="str">
        <x:v>Profit / Craft</x:v>
      </x:c>
      <x:c r="Z4" s="36" t="str">
        <x:v>Margin</x:v>
      </x:c>
      <x:c r="AA4" s="36" t="str">
        <x:v>Base Focus Cost</x:v>
      </x:c>
      <x:c r="AB4" s="36" t="str">
        <x:v>Focus Cost Efficiency</x:v>
      </x:c>
      <x:c r="AC4" s="36" t="str">
        <x:v>Actual Focus Cost</x:v>
      </x:c>
      <x:c r="AD4" s="36" t="str">
        <x:v>Focus Profit Gain</x:v>
      </x:c>
      <x:c r="AE4" s="36" t="str">
        <x:v>Silver / Focus</x:v>
      </x:c>
      <x:c r="AF4" s="36" t="str">
        <x:v>Break-even Unit Price</x:v>
      </x:c>
      <x:c r="AG4" s="36" t="str">
        <x:v>ROI</x:v>
      </x:c>
      <x:c r="AH4" s="36" t="str">
        <x:v>Status</x:v>
      </x:c>
      <x:c r="AJ4" s="36" t="str">
        <x:v>Scanner Summary</x:v>
      </x:c>
      <x:c r="AK4" s="36" t="str">
        <x:v>Value</x:v>
      </x:c>
    </x:row>
    <x:row r="5">
      <x:c r="A5" s="42"/>
      <x:c r="B5" s="42"/>
      <x:c r="C5" s="42"/>
      <x:c r="D5" s="42"/>
      <x:c r="E5" s="42"/>
      <x:c r="F5" s="42"/>
      <x:c r="G5" s="42"/>
      <x:c r="H5" s="72"/>
      <x:c r="I5" s="76"/>
      <x:c r="J5" s="76"/>
      <x:c r="K5" s="42"/>
      <x:c r="L5" s="50" t="str">
        <x:f>IF(A5="","",I5+J5+IF(K5="Yes",Settings!$B$11,0))</x:f>
      </x:c>
      <x:c r="M5" s="50" t="str">
        <x:f>IF(A5="","",1-1/(1+L5))</x:f>
      </x:c>
      <x:c r="N5" s="73" t="str">
        <x:f>IF(A5="","",SUMIFS('Recipe Lines'!$N$5:$N$504,'Recipe Lines'!$A$5:$A$504,A5,'Recipe Lines'!$H$5:$H$504,"Yes"))</x:f>
      </x:c>
      <x:c r="O5" s="73" t="str">
        <x:f>IF(A5="","",SUMIFS('Recipe Lines'!$N$5:$N$504,'Recipe Lines'!$A$5:$A$504,A5,'Recipe Lines'!$H$5:$H$504,"No"))</x:f>
      </x:c>
      <x:c r="P5" s="73" t="str">
        <x:f>IF(A5="","",N5*(1-M5)+O5)</x:f>
      </x:c>
      <x:c r="Q5" s="46"/>
      <x:c r="R5" s="72"/>
      <x:c r="S5" s="73" t="str">
        <x:f>IF(A5="","",R5*0.1125*Q5)</x:f>
      </x:c>
      <x:c r="T5" s="72"/>
      <x:c r="U5" s="73" t="str">
        <x:f>IF(A5="","",IF(H5&gt;0,H5,IF(F5="Sell Order",SUMIFS('Market Data'!$E$5:$E$504,'Market Data'!$A$5:$A$504,E5,'Market Data'!$B$5:$B$504,B5,'Market Data'!$D$5:$D$504,G5),SUMIFS('Market Data'!$F$5:$F$504,'Market Data'!$A$5:$A$504,E5,'Market Data'!$B$5:$B$504,B5,'Market Data'!$D$5:$D$504,G5))))</x:f>
      </x:c>
      <x:c r="V5" s="73" t="str">
        <x:f>IF(A5="","",U5*D5)</x:f>
      </x:c>
      <x:c r="W5" s="73" t="str">
        <x:f>IF(A5="","",V5*(Settings!$B$19+IF(F5="Sell Order",Settings!$B$13,0)))</x:f>
      </x:c>
      <x:c r="X5" s="73" t="str">
        <x:f>IF(A5="","",V5-W5+T5)</x:f>
      </x:c>
      <x:c r="Y5" s="73" t="str">
        <x:f>IF(A5="","",X5-P5-S5)</x:f>
      </x:c>
      <x:c r="Z5" s="50" t="str">
        <x:f>IF(A5="","",IF(V5=0,0,Y5/V5))</x:f>
      </x:c>
      <x:c r="AA5" s="72"/>
      <x:c r="AB5" s="68"/>
      <x:c r="AC5" s="73" t="str">
        <x:f>IF(A5="","",IF(K5="Yes",AA5*POWER(0.5,AB5/10000),0))</x:f>
      </x:c>
      <x:c r="AD5" s="73" t="str">
        <x:f>IF(A5="","",IF(K5="Yes",N5*((1-1/(1+I5+J5+Settings!$B$11))-(1-1/(1+I5+J5))),0))</x:f>
      </x:c>
      <x:c r="AE5" s="73" t="str">
        <x:f>IF(A5="","",IF(AC5&gt;0,AD5/AC5,0))</x:f>
      </x:c>
      <x:c r="AF5" s="73" t="str">
        <x:f>IF(A5="","",IF(D5=0,0,MAX(0,(P5+S5-T5)/(D5*(1-(Settings!$B$19+IF(F5="Sell Order",Settings!$B$13,0)))))))</x:f>
      </x:c>
      <x:c r="AG5" s="50" t="str">
        <x:f>IF(A5="","",IF(P5+S5=0,0,Y5/(P5+S5)))</x:f>
      </x:c>
      <x:c r="AH5" s="48" t="str">
        <x:f>IF(A5="","",IF(Y5&gt;0,"PROFIT",IF(Y5&lt;0,"LOSS","BREAK-EVEN")))</x:f>
      </x:c>
      <x:c r="AJ5" t="str">
        <x:v>Crafts entered</x:v>
      </x:c>
      <x:c r="AK5" s="48" t="n">
        <x:f>COUNTIF(A5:A104,"&lt;&gt;")</x:f>
        <x:v>0</x:v>
      </x:c>
    </x:row>
    <x:row r="6">
      <x:c r="A6" s="42"/>
      <x:c r="B6" s="42"/>
      <x:c r="C6" s="42"/>
      <x:c r="D6" s="42"/>
      <x:c r="E6" s="42"/>
      <x:c r="F6" s="42"/>
      <x:c r="G6" s="42"/>
      <x:c r="H6" s="72"/>
      <x:c r="I6" s="76"/>
      <x:c r="J6" s="76"/>
      <x:c r="K6" s="42"/>
      <x:c r="L6" s="50" t="str">
        <x:f>IF(A6="","",I6+J6+IF(K6="Yes",Settings!$B$11,0))</x:f>
      </x:c>
      <x:c r="M6" s="50" t="str">
        <x:f>IF(A6="","",1-1/(1+L6))</x:f>
      </x:c>
      <x:c r="N6" s="73" t="str">
        <x:f>IF(A6="","",SUMIFS('Recipe Lines'!$N$5:$N$504,'Recipe Lines'!$A$5:$A$504,A6,'Recipe Lines'!$H$5:$H$504,"Yes"))</x:f>
      </x:c>
      <x:c r="O6" s="73" t="str">
        <x:f>IF(A6="","",SUMIFS('Recipe Lines'!$N$5:$N$504,'Recipe Lines'!$A$5:$A$504,A6,'Recipe Lines'!$H$5:$H$504,"No"))</x:f>
      </x:c>
      <x:c r="P6" s="73" t="str">
        <x:f>IF(A6="","",N6*(1-M6)+O6)</x:f>
      </x:c>
      <x:c r="Q6" s="46"/>
      <x:c r="R6" s="72"/>
      <x:c r="S6" s="73" t="str">
        <x:f>IF(A6="","",R6*0.1125*Q6)</x:f>
      </x:c>
      <x:c r="T6" s="72"/>
      <x:c r="U6" s="73" t="str">
        <x:f>IF(A6="","",IF(H6&gt;0,H6,IF(F6="Sell Order",SUMIFS('Market Data'!$E$5:$E$504,'Market Data'!$A$5:$A$504,E6,'Market Data'!$B$5:$B$504,B6,'Market Data'!$D$5:$D$504,G6),SUMIFS('Market Data'!$F$5:$F$504,'Market Data'!$A$5:$A$504,E6,'Market Data'!$B$5:$B$504,B6,'Market Data'!$D$5:$D$504,G6))))</x:f>
      </x:c>
      <x:c r="V6" s="73" t="str">
        <x:f>IF(A6="","",U6*D6)</x:f>
      </x:c>
      <x:c r="W6" s="73" t="str">
        <x:f>IF(A6="","",V6*(Settings!$B$19+IF(F6="Sell Order",Settings!$B$13,0)))</x:f>
      </x:c>
      <x:c r="X6" s="73" t="str">
        <x:f>IF(A6="","",V6-W6+T6)</x:f>
      </x:c>
      <x:c r="Y6" s="73" t="str">
        <x:f>IF(A6="","",X6-P6-S6)</x:f>
      </x:c>
      <x:c r="Z6" s="50" t="str">
        <x:f>IF(A6="","",IF(V6=0,0,Y6/V6))</x:f>
      </x:c>
      <x:c r="AA6" s="72"/>
      <x:c r="AB6" s="68"/>
      <x:c r="AC6" s="73" t="str">
        <x:f>IF(A6="","",IF(K6="Yes",AA6*POWER(0.5,AB6/10000),0))</x:f>
      </x:c>
      <x:c r="AD6" s="73" t="str">
        <x:f>IF(A6="","",IF(K6="Yes",N6*((1-1/(1+I6+J6+Settings!$B$11))-(1-1/(1+I6+J6))),0))</x:f>
      </x:c>
      <x:c r="AE6" s="73" t="str">
        <x:f>IF(A6="","",IF(AC6&gt;0,AD6/AC6,0))</x:f>
      </x:c>
      <x:c r="AF6" s="73" t="str">
        <x:f>IF(A6="","",IF(D6=0,0,MAX(0,(P6+S6-T6)/(D6*(1-(Settings!$B$19+IF(F6="Sell Order",Settings!$B$13,0)))))))</x:f>
      </x:c>
      <x:c r="AG6" s="50" t="str">
        <x:f>IF(A6="","",IF(P6+S6=0,0,Y6/(P6+S6)))</x:f>
      </x:c>
      <x:c r="AH6" s="48" t="str">
        <x:f>IF(A6="","",IF(Y6&gt;0,"PROFIT",IF(Y6&lt;0,"LOSS","BREAK-EVEN")))</x:f>
      </x:c>
      <x:c r="AJ6" t="str">
        <x:v>Profitable crafts</x:v>
      </x:c>
      <x:c r="AK6" s="48" t="n">
        <x:f>COUNTIF(AH5:AH104,"PROFIT")</x:f>
        <x:v>0</x:v>
      </x:c>
    </x:row>
    <x:row r="7">
      <x:c r="A7" s="42"/>
      <x:c r="B7" s="42"/>
      <x:c r="C7" s="42"/>
      <x:c r="D7" s="42"/>
      <x:c r="E7" s="42"/>
      <x:c r="F7" s="42"/>
      <x:c r="G7" s="42"/>
      <x:c r="H7" s="72"/>
      <x:c r="I7" s="76"/>
      <x:c r="J7" s="76"/>
      <x:c r="K7" s="42"/>
      <x:c r="L7" s="50" t="str">
        <x:f>IF(A7="","",I7+J7+IF(K7="Yes",Settings!$B$11,0))</x:f>
      </x:c>
      <x:c r="M7" s="50" t="str">
        <x:f>IF(A7="","",1-1/(1+L7))</x:f>
      </x:c>
      <x:c r="N7" s="73" t="str">
        <x:f>IF(A7="","",SUMIFS('Recipe Lines'!$N$5:$N$504,'Recipe Lines'!$A$5:$A$504,A7,'Recipe Lines'!$H$5:$H$504,"Yes"))</x:f>
      </x:c>
      <x:c r="O7" s="73" t="str">
        <x:f>IF(A7="","",SUMIFS('Recipe Lines'!$N$5:$N$504,'Recipe Lines'!$A$5:$A$504,A7,'Recipe Lines'!$H$5:$H$504,"No"))</x:f>
      </x:c>
      <x:c r="P7" s="73" t="str">
        <x:f>IF(A7="","",N7*(1-M7)+O7)</x:f>
      </x:c>
      <x:c r="Q7" s="46"/>
      <x:c r="R7" s="72"/>
      <x:c r="S7" s="73" t="str">
        <x:f>IF(A7="","",R7*0.1125*Q7)</x:f>
      </x:c>
      <x:c r="T7" s="72"/>
      <x:c r="U7" s="73" t="str">
        <x:f>IF(A7="","",IF(H7&gt;0,H7,IF(F7="Sell Order",SUMIFS('Market Data'!$E$5:$E$504,'Market Data'!$A$5:$A$504,E7,'Market Data'!$B$5:$B$504,B7,'Market Data'!$D$5:$D$504,G7),SUMIFS('Market Data'!$F$5:$F$504,'Market Data'!$A$5:$A$504,E7,'Market Data'!$B$5:$B$504,B7,'Market Data'!$D$5:$D$504,G7))))</x:f>
      </x:c>
      <x:c r="V7" s="73" t="str">
        <x:f>IF(A7="","",U7*D7)</x:f>
      </x:c>
      <x:c r="W7" s="73" t="str">
        <x:f>IF(A7="","",V7*(Settings!$B$19+IF(F7="Sell Order",Settings!$B$13,0)))</x:f>
      </x:c>
      <x:c r="X7" s="73" t="str">
        <x:f>IF(A7="","",V7-W7+T7)</x:f>
      </x:c>
      <x:c r="Y7" s="73" t="str">
        <x:f>IF(A7="","",X7-P7-S7)</x:f>
      </x:c>
      <x:c r="Z7" s="50" t="str">
        <x:f>IF(A7="","",IF(V7=0,0,Y7/V7))</x:f>
      </x:c>
      <x:c r="AA7" s="72"/>
      <x:c r="AB7" s="68"/>
      <x:c r="AC7" s="73" t="str">
        <x:f>IF(A7="","",IF(K7="Yes",AA7*POWER(0.5,AB7/10000),0))</x:f>
      </x:c>
      <x:c r="AD7" s="73" t="str">
        <x:f>IF(A7="","",IF(K7="Yes",N7*((1-1/(1+I7+J7+Settings!$B$11))-(1-1/(1+I7+J7))),0))</x:f>
      </x:c>
      <x:c r="AE7" s="73" t="str">
        <x:f>IF(A7="","",IF(AC7&gt;0,AD7/AC7,0))</x:f>
      </x:c>
      <x:c r="AF7" s="73" t="str">
        <x:f>IF(A7="","",IF(D7=0,0,MAX(0,(P7+S7-T7)/(D7*(1-(Settings!$B$19+IF(F7="Sell Order",Settings!$B$13,0)))))))</x:f>
      </x:c>
      <x:c r="AG7" s="50" t="str">
        <x:f>IF(A7="","",IF(P7+S7=0,0,Y7/(P7+S7)))</x:f>
      </x:c>
      <x:c r="AH7" s="48" t="str">
        <x:f>IF(A7="","",IF(Y7&gt;0,"PROFIT",IF(Y7&lt;0,"LOSS","BREAK-EVEN")))</x:f>
      </x:c>
      <x:c r="AJ7" t="str">
        <x:v>Best profit / craft</x:v>
      </x:c>
      <x:c r="AK7" s="73" t="n">
        <x:f>IFERROR(MAX(Y5:Y104),0)</x:f>
        <x:v>0</x:v>
      </x:c>
    </x:row>
    <x:row r="8">
      <x:c r="A8" s="42"/>
      <x:c r="B8" s="42"/>
      <x:c r="C8" s="42"/>
      <x:c r="D8" s="42"/>
      <x:c r="E8" s="42"/>
      <x:c r="F8" s="42"/>
      <x:c r="G8" s="42"/>
      <x:c r="H8" s="72"/>
      <x:c r="I8" s="76"/>
      <x:c r="J8" s="76"/>
      <x:c r="K8" s="42"/>
      <x:c r="L8" s="50" t="str">
        <x:f>IF(A8="","",I8+J8+IF(K8="Yes",Settings!$B$11,0))</x:f>
      </x:c>
      <x:c r="M8" s="50" t="str">
        <x:f>IF(A8="","",1-1/(1+L8))</x:f>
      </x:c>
      <x:c r="N8" s="73" t="str">
        <x:f>IF(A8="","",SUMIFS('Recipe Lines'!$N$5:$N$504,'Recipe Lines'!$A$5:$A$504,A8,'Recipe Lines'!$H$5:$H$504,"Yes"))</x:f>
      </x:c>
      <x:c r="O8" s="73" t="str">
        <x:f>IF(A8="","",SUMIFS('Recipe Lines'!$N$5:$N$504,'Recipe Lines'!$A$5:$A$504,A8,'Recipe Lines'!$H$5:$H$504,"No"))</x:f>
      </x:c>
      <x:c r="P8" s="73" t="str">
        <x:f>IF(A8="","",N8*(1-M8)+O8)</x:f>
      </x:c>
      <x:c r="Q8" s="46"/>
      <x:c r="R8" s="72"/>
      <x:c r="S8" s="73" t="str">
        <x:f>IF(A8="","",R8*0.1125*Q8)</x:f>
      </x:c>
      <x:c r="T8" s="72"/>
      <x:c r="U8" s="73" t="str">
        <x:f>IF(A8="","",IF(H8&gt;0,H8,IF(F8="Sell Order",SUMIFS('Market Data'!$E$5:$E$504,'Market Data'!$A$5:$A$504,E8,'Market Data'!$B$5:$B$504,B8,'Market Data'!$D$5:$D$504,G8),SUMIFS('Market Data'!$F$5:$F$504,'Market Data'!$A$5:$A$504,E8,'Market Data'!$B$5:$B$504,B8,'Market Data'!$D$5:$D$504,G8))))</x:f>
      </x:c>
      <x:c r="V8" s="73" t="str">
        <x:f>IF(A8="","",U8*D8)</x:f>
      </x:c>
      <x:c r="W8" s="73" t="str">
        <x:f>IF(A8="","",V8*(Settings!$B$19+IF(F8="Sell Order",Settings!$B$13,0)))</x:f>
      </x:c>
      <x:c r="X8" s="73" t="str">
        <x:f>IF(A8="","",V8-W8+T8)</x:f>
      </x:c>
      <x:c r="Y8" s="73" t="str">
        <x:f>IF(A8="","",X8-P8-S8)</x:f>
      </x:c>
      <x:c r="Z8" s="50" t="str">
        <x:f>IF(A8="","",IF(V8=0,0,Y8/V8))</x:f>
      </x:c>
      <x:c r="AA8" s="72"/>
      <x:c r="AB8" s="68"/>
      <x:c r="AC8" s="73" t="str">
        <x:f>IF(A8="","",IF(K8="Yes",AA8*POWER(0.5,AB8/10000),0))</x:f>
      </x:c>
      <x:c r="AD8" s="73" t="str">
        <x:f>IF(A8="","",IF(K8="Yes",N8*((1-1/(1+I8+J8+Settings!$B$11))-(1-1/(1+I8+J8))),0))</x:f>
      </x:c>
      <x:c r="AE8" s="73" t="str">
        <x:f>IF(A8="","",IF(AC8&gt;0,AD8/AC8,0))</x:f>
      </x:c>
      <x:c r="AF8" s="73" t="str">
        <x:f>IF(A8="","",IF(D8=0,0,MAX(0,(P8+S8-T8)/(D8*(1-(Settings!$B$19+IF(F8="Sell Order",Settings!$B$13,0)))))))</x:f>
      </x:c>
      <x:c r="AG8" s="50" t="str">
        <x:f>IF(A8="","",IF(P8+S8=0,0,Y8/(P8+S8)))</x:f>
      </x:c>
      <x:c r="AH8" s="48" t="str">
        <x:f>IF(A8="","",IF(Y8&gt;0,"PROFIT",IF(Y8&lt;0,"LOSS","BREAK-EVEN")))</x:f>
      </x:c>
      <x:c r="AJ8" t="str">
        <x:v>Best silver / focus</x:v>
      </x:c>
      <x:c r="AK8" s="73" t="n">
        <x:f>IFERROR(MAX(AE5:AE104),0)</x:f>
        <x:v>0</x:v>
      </x:c>
    </x:row>
    <x:row r="9">
      <x:c r="A9" s="42"/>
      <x:c r="B9" s="42"/>
      <x:c r="C9" s="42"/>
      <x:c r="D9" s="42"/>
      <x:c r="E9" s="42"/>
      <x:c r="F9" s="42"/>
      <x:c r="G9" s="42"/>
      <x:c r="H9" s="72"/>
      <x:c r="I9" s="76"/>
      <x:c r="J9" s="76"/>
      <x:c r="K9" s="42"/>
      <x:c r="L9" s="50" t="str">
        <x:f>IF(A9="","",I9+J9+IF(K9="Yes",Settings!$B$11,0))</x:f>
      </x:c>
      <x:c r="M9" s="50" t="str">
        <x:f>IF(A9="","",1-1/(1+L9))</x:f>
      </x:c>
      <x:c r="N9" s="73" t="str">
        <x:f>IF(A9="","",SUMIFS('Recipe Lines'!$N$5:$N$504,'Recipe Lines'!$A$5:$A$504,A9,'Recipe Lines'!$H$5:$H$504,"Yes"))</x:f>
      </x:c>
      <x:c r="O9" s="73" t="str">
        <x:f>IF(A9="","",SUMIFS('Recipe Lines'!$N$5:$N$504,'Recipe Lines'!$A$5:$A$504,A9,'Recipe Lines'!$H$5:$H$504,"No"))</x:f>
      </x:c>
      <x:c r="P9" s="73" t="str">
        <x:f>IF(A9="","",N9*(1-M9)+O9)</x:f>
      </x:c>
      <x:c r="Q9" s="46"/>
      <x:c r="R9" s="72"/>
      <x:c r="S9" s="73" t="str">
        <x:f>IF(A9="","",R9*0.1125*Q9)</x:f>
      </x:c>
      <x:c r="T9" s="72"/>
      <x:c r="U9" s="73" t="str">
        <x:f>IF(A9="","",IF(H9&gt;0,H9,IF(F9="Sell Order",SUMIFS('Market Data'!$E$5:$E$504,'Market Data'!$A$5:$A$504,E9,'Market Data'!$B$5:$B$504,B9,'Market Data'!$D$5:$D$504,G9),SUMIFS('Market Data'!$F$5:$F$504,'Market Data'!$A$5:$A$504,E9,'Market Data'!$B$5:$B$504,B9,'Market Data'!$D$5:$D$504,G9))))</x:f>
      </x:c>
      <x:c r="V9" s="73" t="str">
        <x:f>IF(A9="","",U9*D9)</x:f>
      </x:c>
      <x:c r="W9" s="73" t="str">
        <x:f>IF(A9="","",V9*(Settings!$B$19+IF(F9="Sell Order",Settings!$B$13,0)))</x:f>
      </x:c>
      <x:c r="X9" s="73" t="str">
        <x:f>IF(A9="","",V9-W9+T9)</x:f>
      </x:c>
      <x:c r="Y9" s="73" t="str">
        <x:f>IF(A9="","",X9-P9-S9)</x:f>
      </x:c>
      <x:c r="Z9" s="50" t="str">
        <x:f>IF(A9="","",IF(V9=0,0,Y9/V9))</x:f>
      </x:c>
      <x:c r="AA9" s="72"/>
      <x:c r="AB9" s="68"/>
      <x:c r="AC9" s="73" t="str">
        <x:f>IF(A9="","",IF(K9="Yes",AA9*POWER(0.5,AB9/10000),0))</x:f>
      </x:c>
      <x:c r="AD9" s="73" t="str">
        <x:f>IF(A9="","",IF(K9="Yes",N9*((1-1/(1+I9+J9+Settings!$B$11))-(1-1/(1+I9+J9))),0))</x:f>
      </x:c>
      <x:c r="AE9" s="73" t="str">
        <x:f>IF(A9="","",IF(AC9&gt;0,AD9/AC9,0))</x:f>
      </x:c>
      <x:c r="AF9" s="73" t="str">
        <x:f>IF(A9="","",IF(D9=0,0,MAX(0,(P9+S9-T9)/(D9*(1-(Settings!$B$19+IF(F9="Sell Order",Settings!$B$13,0)))))))</x:f>
      </x:c>
      <x:c r="AG9" s="50" t="str">
        <x:f>IF(A9="","",IF(P9+S9=0,0,Y9/(P9+S9)))</x:f>
      </x:c>
      <x:c r="AH9" s="48" t="str">
        <x:f>IF(A9="","",IF(Y9&gt;0,"PROFIT",IF(Y9&lt;0,"LOSS","BREAK-EVEN")))</x:f>
      </x:c>
      <x:c r="AJ9" t="str">
        <x:v>Best ROI</x:v>
      </x:c>
      <x:c r="AK9" s="50" t="n">
        <x:f>IFERROR(MAX(AG5:AG104),0)</x:f>
        <x:v>0</x:v>
      </x:c>
    </x:row>
    <x:row r="10">
      <x:c r="A10" s="42"/>
      <x:c r="B10" s="42"/>
      <x:c r="C10" s="42"/>
      <x:c r="D10" s="42"/>
      <x:c r="E10" s="42"/>
      <x:c r="F10" s="42"/>
      <x:c r="G10" s="42"/>
      <x:c r="H10" s="72"/>
      <x:c r="I10" s="76"/>
      <x:c r="J10" s="76"/>
      <x:c r="K10" s="42"/>
      <x:c r="L10" s="50" t="str">
        <x:f>IF(A10="","",I10+J10+IF(K10="Yes",Settings!$B$11,0))</x:f>
      </x:c>
      <x:c r="M10" s="50" t="str">
        <x:f>IF(A10="","",1-1/(1+L10))</x:f>
      </x:c>
      <x:c r="N10" s="73" t="str">
        <x:f>IF(A10="","",SUMIFS('Recipe Lines'!$N$5:$N$504,'Recipe Lines'!$A$5:$A$504,A10,'Recipe Lines'!$H$5:$H$504,"Yes"))</x:f>
      </x:c>
      <x:c r="O10" s="73" t="str">
        <x:f>IF(A10="","",SUMIFS('Recipe Lines'!$N$5:$N$504,'Recipe Lines'!$A$5:$A$504,A10,'Recipe Lines'!$H$5:$H$504,"No"))</x:f>
      </x:c>
      <x:c r="P10" s="73" t="str">
        <x:f>IF(A10="","",N10*(1-M10)+O10)</x:f>
      </x:c>
      <x:c r="Q10" s="46"/>
      <x:c r="R10" s="72"/>
      <x:c r="S10" s="73" t="str">
        <x:f>IF(A10="","",R10*0.1125*Q10)</x:f>
      </x:c>
      <x:c r="T10" s="72"/>
      <x:c r="U10" s="73" t="str">
        <x:f>IF(A10="","",IF(H10&gt;0,H10,IF(F10="Sell Order",SUMIFS('Market Data'!$E$5:$E$504,'Market Data'!$A$5:$A$504,E10,'Market Data'!$B$5:$B$504,B10,'Market Data'!$D$5:$D$504,G10),SUMIFS('Market Data'!$F$5:$F$504,'Market Data'!$A$5:$A$504,E10,'Market Data'!$B$5:$B$504,B10,'Market Data'!$D$5:$D$504,G10))))</x:f>
      </x:c>
      <x:c r="V10" s="73" t="str">
        <x:f>IF(A10="","",U10*D10)</x:f>
      </x:c>
      <x:c r="W10" s="73" t="str">
        <x:f>IF(A10="","",V10*(Settings!$B$19+IF(F10="Sell Order",Settings!$B$13,0)))</x:f>
      </x:c>
      <x:c r="X10" s="73" t="str">
        <x:f>IF(A10="","",V10-W10+T10)</x:f>
      </x:c>
      <x:c r="Y10" s="73" t="str">
        <x:f>IF(A10="","",X10-P10-S10)</x:f>
      </x:c>
      <x:c r="Z10" s="50" t="str">
        <x:f>IF(A10="","",IF(V10=0,0,Y10/V10))</x:f>
      </x:c>
      <x:c r="AA10" s="72"/>
      <x:c r="AB10" s="68"/>
      <x:c r="AC10" s="73" t="str">
        <x:f>IF(A10="","",IF(K10="Yes",AA10*POWER(0.5,AB10/10000),0))</x:f>
      </x:c>
      <x:c r="AD10" s="73" t="str">
        <x:f>IF(A10="","",IF(K10="Yes",N10*((1-1/(1+I10+J10+Settings!$B$11))-(1-1/(1+I10+J10))),0))</x:f>
      </x:c>
      <x:c r="AE10" s="73" t="str">
        <x:f>IF(A10="","",IF(AC10&gt;0,AD10/AC10,0))</x:f>
      </x:c>
      <x:c r="AF10" s="73" t="str">
        <x:f>IF(A10="","",IF(D10=0,0,MAX(0,(P10+S10-T10)/(D10*(1-(Settings!$B$19+IF(F10="Sell Order",Settings!$B$13,0)))))))</x:f>
      </x:c>
      <x:c r="AG10" s="50" t="str">
        <x:f>IF(A10="","",IF(P10+S10=0,0,Y10/(P10+S10)))</x:f>
      </x:c>
      <x:c r="AH10" s="48" t="str">
        <x:f>IF(A10="","",IF(Y10&gt;0,"PROFIT",IF(Y10&lt;0,"LOSS","BREAK-EVEN")))</x:f>
      </x:c>
    </x:row>
    <x:row r="11">
      <x:c r="A11" s="42"/>
      <x:c r="B11" s="42"/>
      <x:c r="C11" s="42"/>
      <x:c r="D11" s="42"/>
      <x:c r="E11" s="42"/>
      <x:c r="F11" s="42"/>
      <x:c r="G11" s="42"/>
      <x:c r="H11" s="72"/>
      <x:c r="I11" s="76"/>
      <x:c r="J11" s="76"/>
      <x:c r="K11" s="42"/>
      <x:c r="L11" s="50" t="str">
        <x:f>IF(A11="","",I11+J11+IF(K11="Yes",Settings!$B$11,0))</x:f>
      </x:c>
      <x:c r="M11" s="50" t="str">
        <x:f>IF(A11="","",1-1/(1+L11))</x:f>
      </x:c>
      <x:c r="N11" s="73" t="str">
        <x:f>IF(A11="","",SUMIFS('Recipe Lines'!$N$5:$N$504,'Recipe Lines'!$A$5:$A$504,A11,'Recipe Lines'!$H$5:$H$504,"Yes"))</x:f>
      </x:c>
      <x:c r="O11" s="73" t="str">
        <x:f>IF(A11="","",SUMIFS('Recipe Lines'!$N$5:$N$504,'Recipe Lines'!$A$5:$A$504,A11,'Recipe Lines'!$H$5:$H$504,"No"))</x:f>
      </x:c>
      <x:c r="P11" s="73" t="str">
        <x:f>IF(A11="","",N11*(1-M11)+O11)</x:f>
      </x:c>
      <x:c r="Q11" s="46"/>
      <x:c r="R11" s="72"/>
      <x:c r="S11" s="73" t="str">
        <x:f>IF(A11="","",R11*0.1125*Q11)</x:f>
      </x:c>
      <x:c r="T11" s="72"/>
      <x:c r="U11" s="73" t="str">
        <x:f>IF(A11="","",IF(H11&gt;0,H11,IF(F11="Sell Order",SUMIFS('Market Data'!$E$5:$E$504,'Market Data'!$A$5:$A$504,E11,'Market Data'!$B$5:$B$504,B11,'Market Data'!$D$5:$D$504,G11),SUMIFS('Market Data'!$F$5:$F$504,'Market Data'!$A$5:$A$504,E11,'Market Data'!$B$5:$B$504,B11,'Market Data'!$D$5:$D$504,G11))))</x:f>
      </x:c>
      <x:c r="V11" s="73" t="str">
        <x:f>IF(A11="","",U11*D11)</x:f>
      </x:c>
      <x:c r="W11" s="73" t="str">
        <x:f>IF(A11="","",V11*(Settings!$B$19+IF(F11="Sell Order",Settings!$B$13,0)))</x:f>
      </x:c>
      <x:c r="X11" s="73" t="str">
        <x:f>IF(A11="","",V11-W11+T11)</x:f>
      </x:c>
      <x:c r="Y11" s="73" t="str">
        <x:f>IF(A11="","",X11-P11-S11)</x:f>
      </x:c>
      <x:c r="Z11" s="50" t="str">
        <x:f>IF(A11="","",IF(V11=0,0,Y11/V11))</x:f>
      </x:c>
      <x:c r="AA11" s="72"/>
      <x:c r="AB11" s="68"/>
      <x:c r="AC11" s="73" t="str">
        <x:f>IF(A11="","",IF(K11="Yes",AA11*POWER(0.5,AB11/10000),0))</x:f>
      </x:c>
      <x:c r="AD11" s="73" t="str">
        <x:f>IF(A11="","",IF(K11="Yes",N11*((1-1/(1+I11+J11+Settings!$B$11))-(1-1/(1+I11+J11))),0))</x:f>
      </x:c>
      <x:c r="AE11" s="73" t="str">
        <x:f>IF(A11="","",IF(AC11&gt;0,AD11/AC11,0))</x:f>
      </x:c>
      <x:c r="AF11" s="73" t="str">
        <x:f>IF(A11="","",IF(D11=0,0,MAX(0,(P11+S11-T11)/(D11*(1-(Settings!$B$19+IF(F11="Sell Order",Settings!$B$13,0)))))))</x:f>
      </x:c>
      <x:c r="AG11" s="50" t="str">
        <x:f>IF(A11="","",IF(P11+S11=0,0,Y11/(P11+S11)))</x:f>
      </x:c>
      <x:c r="AH11" s="48" t="str">
        <x:f>IF(A11="","",IF(Y11&gt;0,"PROFIT",IF(Y11&lt;0,"LOSS","BREAK-EVEN")))</x:f>
      </x:c>
    </x:row>
    <x:row r="12">
      <x:c r="A12" s="42"/>
      <x:c r="B12" s="42"/>
      <x:c r="C12" s="42"/>
      <x:c r="D12" s="42"/>
      <x:c r="E12" s="42"/>
      <x:c r="F12" s="42"/>
      <x:c r="G12" s="42"/>
      <x:c r="H12" s="72"/>
      <x:c r="I12" s="76"/>
      <x:c r="J12" s="76"/>
      <x:c r="K12" s="42"/>
      <x:c r="L12" s="50" t="str">
        <x:f>IF(A12="","",I12+J12+IF(K12="Yes",Settings!$B$11,0))</x:f>
      </x:c>
      <x:c r="M12" s="50" t="str">
        <x:f>IF(A12="","",1-1/(1+L12))</x:f>
      </x:c>
      <x:c r="N12" s="73" t="str">
        <x:f>IF(A12="","",SUMIFS('Recipe Lines'!$N$5:$N$504,'Recipe Lines'!$A$5:$A$504,A12,'Recipe Lines'!$H$5:$H$504,"Yes"))</x:f>
      </x:c>
      <x:c r="O12" s="73" t="str">
        <x:f>IF(A12="","",SUMIFS('Recipe Lines'!$N$5:$N$504,'Recipe Lines'!$A$5:$A$504,A12,'Recipe Lines'!$H$5:$H$504,"No"))</x:f>
      </x:c>
      <x:c r="P12" s="73" t="str">
        <x:f>IF(A12="","",N12*(1-M12)+O12)</x:f>
      </x:c>
      <x:c r="Q12" s="46"/>
      <x:c r="R12" s="72"/>
      <x:c r="S12" s="73" t="str">
        <x:f>IF(A12="","",R12*0.1125*Q12)</x:f>
      </x:c>
      <x:c r="T12" s="72"/>
      <x:c r="U12" s="73" t="str">
        <x:f>IF(A12="","",IF(H12&gt;0,H12,IF(F12="Sell Order",SUMIFS('Market Data'!$E$5:$E$504,'Market Data'!$A$5:$A$504,E12,'Market Data'!$B$5:$B$504,B12,'Market Data'!$D$5:$D$504,G12),SUMIFS('Market Data'!$F$5:$F$504,'Market Data'!$A$5:$A$504,E12,'Market Data'!$B$5:$B$504,B12,'Market Data'!$D$5:$D$504,G12))))</x:f>
      </x:c>
      <x:c r="V12" s="73" t="str">
        <x:f>IF(A12="","",U12*D12)</x:f>
      </x:c>
      <x:c r="W12" s="73" t="str">
        <x:f>IF(A12="","",V12*(Settings!$B$19+IF(F12="Sell Order",Settings!$B$13,0)))</x:f>
      </x:c>
      <x:c r="X12" s="73" t="str">
        <x:f>IF(A12="","",V12-W12+T12)</x:f>
      </x:c>
      <x:c r="Y12" s="73" t="str">
        <x:f>IF(A12="","",X12-P12-S12)</x:f>
      </x:c>
      <x:c r="Z12" s="50" t="str">
        <x:f>IF(A12="","",IF(V12=0,0,Y12/V12))</x:f>
      </x:c>
      <x:c r="AA12" s="72"/>
      <x:c r="AB12" s="68"/>
      <x:c r="AC12" s="73" t="str">
        <x:f>IF(A12="","",IF(K12="Yes",AA12*POWER(0.5,AB12/10000),0))</x:f>
      </x:c>
      <x:c r="AD12" s="73" t="str">
        <x:f>IF(A12="","",IF(K12="Yes",N12*((1-1/(1+I12+J12+Settings!$B$11))-(1-1/(1+I12+J12))),0))</x:f>
      </x:c>
      <x:c r="AE12" s="73" t="str">
        <x:f>IF(A12="","",IF(AC12&gt;0,AD12/AC12,0))</x:f>
      </x:c>
      <x:c r="AF12" s="73" t="str">
        <x:f>IF(A12="","",IF(D12=0,0,MAX(0,(P12+S12-T12)/(D12*(1-(Settings!$B$19+IF(F12="Sell Order",Settings!$B$13,0)))))))</x:f>
      </x:c>
      <x:c r="AG12" s="50" t="str">
        <x:f>IF(A12="","",IF(P12+S12=0,0,Y12/(P12+S12)))</x:f>
      </x:c>
      <x:c r="AH12" s="48" t="str">
        <x:f>IF(A12="","",IF(Y12&gt;0,"PROFIT",IF(Y12&lt;0,"LOSS","BREAK-EVEN")))</x:f>
      </x:c>
    </x:row>
    <x:row r="13">
      <x:c r="A13" s="42"/>
      <x:c r="B13" s="42"/>
      <x:c r="C13" s="42"/>
      <x:c r="D13" s="42"/>
      <x:c r="E13" s="42"/>
      <x:c r="F13" s="42"/>
      <x:c r="G13" s="42"/>
      <x:c r="H13" s="72"/>
      <x:c r="I13" s="76"/>
      <x:c r="J13" s="76"/>
      <x:c r="K13" s="42"/>
      <x:c r="L13" s="50" t="str">
        <x:f>IF(A13="","",I13+J13+IF(K13="Yes",Settings!$B$11,0))</x:f>
      </x:c>
      <x:c r="M13" s="50" t="str">
        <x:f>IF(A13="","",1-1/(1+L13))</x:f>
      </x:c>
      <x:c r="N13" s="73" t="str">
        <x:f>IF(A13="","",SUMIFS('Recipe Lines'!$N$5:$N$504,'Recipe Lines'!$A$5:$A$504,A13,'Recipe Lines'!$H$5:$H$504,"Yes"))</x:f>
      </x:c>
      <x:c r="O13" s="73" t="str">
        <x:f>IF(A13="","",SUMIFS('Recipe Lines'!$N$5:$N$504,'Recipe Lines'!$A$5:$A$504,A13,'Recipe Lines'!$H$5:$H$504,"No"))</x:f>
      </x:c>
      <x:c r="P13" s="73" t="str">
        <x:f>IF(A13="","",N13*(1-M13)+O13)</x:f>
      </x:c>
      <x:c r="Q13" s="46"/>
      <x:c r="R13" s="72"/>
      <x:c r="S13" s="73" t="str">
        <x:f>IF(A13="","",R13*0.1125*Q13)</x:f>
      </x:c>
      <x:c r="T13" s="72"/>
      <x:c r="U13" s="73" t="str">
        <x:f>IF(A13="","",IF(H13&gt;0,H13,IF(F13="Sell Order",SUMIFS('Market Data'!$E$5:$E$504,'Market Data'!$A$5:$A$504,E13,'Market Data'!$B$5:$B$504,B13,'Market Data'!$D$5:$D$504,G13),SUMIFS('Market Data'!$F$5:$F$504,'Market Data'!$A$5:$A$504,E13,'Market Data'!$B$5:$B$504,B13,'Market Data'!$D$5:$D$504,G13))))</x:f>
      </x:c>
      <x:c r="V13" s="73" t="str">
        <x:f>IF(A13="","",U13*D13)</x:f>
      </x:c>
      <x:c r="W13" s="73" t="str">
        <x:f>IF(A13="","",V13*(Settings!$B$19+IF(F13="Sell Order",Settings!$B$13,0)))</x:f>
      </x:c>
      <x:c r="X13" s="73" t="str">
        <x:f>IF(A13="","",V13-W13+T13)</x:f>
      </x:c>
      <x:c r="Y13" s="73" t="str">
        <x:f>IF(A13="","",X13-P13-S13)</x:f>
      </x:c>
      <x:c r="Z13" s="50" t="str">
        <x:f>IF(A13="","",IF(V13=0,0,Y13/V13))</x:f>
      </x:c>
      <x:c r="AA13" s="72"/>
      <x:c r="AB13" s="68"/>
      <x:c r="AC13" s="73" t="str">
        <x:f>IF(A13="","",IF(K13="Yes",AA13*POWER(0.5,AB13/10000),0))</x:f>
      </x:c>
      <x:c r="AD13" s="73" t="str">
        <x:f>IF(A13="","",IF(K13="Yes",N13*((1-1/(1+I13+J13+Settings!$B$11))-(1-1/(1+I13+J13))),0))</x:f>
      </x:c>
      <x:c r="AE13" s="73" t="str">
        <x:f>IF(A13="","",IF(AC13&gt;0,AD13/AC13,0))</x:f>
      </x:c>
      <x:c r="AF13" s="73" t="str">
        <x:f>IF(A13="","",IF(D13=0,0,MAX(0,(P13+S13-T13)/(D13*(1-(Settings!$B$19+IF(F13="Sell Order",Settings!$B$13,0)))))))</x:f>
      </x:c>
      <x:c r="AG13" s="50" t="str">
        <x:f>IF(A13="","",IF(P13+S13=0,0,Y13/(P13+S13)))</x:f>
      </x:c>
      <x:c r="AH13" s="48" t="str">
        <x:f>IF(A13="","",IF(Y13&gt;0,"PROFIT",IF(Y13&lt;0,"LOSS","BREAK-EVEN")))</x:f>
      </x:c>
    </x:row>
    <x:row r="14">
      <x:c r="A14" s="42"/>
      <x:c r="B14" s="42"/>
      <x:c r="C14" s="42"/>
      <x:c r="D14" s="42"/>
      <x:c r="E14" s="42"/>
      <x:c r="F14" s="42"/>
      <x:c r="G14" s="42"/>
      <x:c r="H14" s="72"/>
      <x:c r="I14" s="76"/>
      <x:c r="J14" s="76"/>
      <x:c r="K14" s="42"/>
      <x:c r="L14" s="50" t="str">
        <x:f>IF(A14="","",I14+J14+IF(K14="Yes",Settings!$B$11,0))</x:f>
      </x:c>
      <x:c r="M14" s="50" t="str">
        <x:f>IF(A14="","",1-1/(1+L14))</x:f>
      </x:c>
      <x:c r="N14" s="73" t="str">
        <x:f>IF(A14="","",SUMIFS('Recipe Lines'!$N$5:$N$504,'Recipe Lines'!$A$5:$A$504,A14,'Recipe Lines'!$H$5:$H$504,"Yes"))</x:f>
      </x:c>
      <x:c r="O14" s="73" t="str">
        <x:f>IF(A14="","",SUMIFS('Recipe Lines'!$N$5:$N$504,'Recipe Lines'!$A$5:$A$504,A14,'Recipe Lines'!$H$5:$H$504,"No"))</x:f>
      </x:c>
      <x:c r="P14" s="73" t="str">
        <x:f>IF(A14="","",N14*(1-M14)+O14)</x:f>
      </x:c>
      <x:c r="Q14" s="46"/>
      <x:c r="R14" s="72"/>
      <x:c r="S14" s="73" t="str">
        <x:f>IF(A14="","",R14*0.1125*Q14)</x:f>
      </x:c>
      <x:c r="T14" s="72"/>
      <x:c r="U14" s="73" t="str">
        <x:f>IF(A14="","",IF(H14&gt;0,H14,IF(F14="Sell Order",SUMIFS('Market Data'!$E$5:$E$504,'Market Data'!$A$5:$A$504,E14,'Market Data'!$B$5:$B$504,B14,'Market Data'!$D$5:$D$504,G14),SUMIFS('Market Data'!$F$5:$F$504,'Market Data'!$A$5:$A$504,E14,'Market Data'!$B$5:$B$504,B14,'Market Data'!$D$5:$D$504,G14))))</x:f>
      </x:c>
      <x:c r="V14" s="73" t="str">
        <x:f>IF(A14="","",U14*D14)</x:f>
      </x:c>
      <x:c r="W14" s="73" t="str">
        <x:f>IF(A14="","",V14*(Settings!$B$19+IF(F14="Sell Order",Settings!$B$13,0)))</x:f>
      </x:c>
      <x:c r="X14" s="73" t="str">
        <x:f>IF(A14="","",V14-W14+T14)</x:f>
      </x:c>
      <x:c r="Y14" s="73" t="str">
        <x:f>IF(A14="","",X14-P14-S14)</x:f>
      </x:c>
      <x:c r="Z14" s="50" t="str">
        <x:f>IF(A14="","",IF(V14=0,0,Y14/V14))</x:f>
      </x:c>
      <x:c r="AA14" s="72"/>
      <x:c r="AB14" s="68"/>
      <x:c r="AC14" s="73" t="str">
        <x:f>IF(A14="","",IF(K14="Yes",AA14*POWER(0.5,AB14/10000),0))</x:f>
      </x:c>
      <x:c r="AD14" s="73" t="str">
        <x:f>IF(A14="","",IF(K14="Yes",N14*((1-1/(1+I14+J14+Settings!$B$11))-(1-1/(1+I14+J14))),0))</x:f>
      </x:c>
      <x:c r="AE14" s="73" t="str">
        <x:f>IF(A14="","",IF(AC14&gt;0,AD14/AC14,0))</x:f>
      </x:c>
      <x:c r="AF14" s="73" t="str">
        <x:f>IF(A14="","",IF(D14=0,0,MAX(0,(P14+S14-T14)/(D14*(1-(Settings!$B$19+IF(F14="Sell Order",Settings!$B$13,0)))))))</x:f>
      </x:c>
      <x:c r="AG14" s="50" t="str">
        <x:f>IF(A14="","",IF(P14+S14=0,0,Y14/(P14+S14)))</x:f>
      </x:c>
      <x:c r="AH14" s="48" t="str">
        <x:f>IF(A14="","",IF(Y14&gt;0,"PROFIT",IF(Y14&lt;0,"LOSS","BREAK-EVEN")))</x:f>
      </x:c>
    </x:row>
    <x:row r="15">
      <x:c r="A15" s="42"/>
      <x:c r="B15" s="42"/>
      <x:c r="C15" s="42"/>
      <x:c r="D15" s="42"/>
      <x:c r="E15" s="42"/>
      <x:c r="F15" s="42"/>
      <x:c r="G15" s="42"/>
      <x:c r="H15" s="72"/>
      <x:c r="I15" s="76"/>
      <x:c r="J15" s="76"/>
      <x:c r="K15" s="42"/>
      <x:c r="L15" s="50" t="str">
        <x:f>IF(A15="","",I15+J15+IF(K15="Yes",Settings!$B$11,0))</x:f>
      </x:c>
      <x:c r="M15" s="50" t="str">
        <x:f>IF(A15="","",1-1/(1+L15))</x:f>
      </x:c>
      <x:c r="N15" s="73" t="str">
        <x:f>IF(A15="","",SUMIFS('Recipe Lines'!$N$5:$N$504,'Recipe Lines'!$A$5:$A$504,A15,'Recipe Lines'!$H$5:$H$504,"Yes"))</x:f>
      </x:c>
      <x:c r="O15" s="73" t="str">
        <x:f>IF(A15="","",SUMIFS('Recipe Lines'!$N$5:$N$504,'Recipe Lines'!$A$5:$A$504,A15,'Recipe Lines'!$H$5:$H$504,"No"))</x:f>
      </x:c>
      <x:c r="P15" s="73" t="str">
        <x:f>IF(A15="","",N15*(1-M15)+O15)</x:f>
      </x:c>
      <x:c r="Q15" s="46"/>
      <x:c r="R15" s="72"/>
      <x:c r="S15" s="73" t="str">
        <x:f>IF(A15="","",R15*0.1125*Q15)</x:f>
      </x:c>
      <x:c r="T15" s="72"/>
      <x:c r="U15" s="73" t="str">
        <x:f>IF(A15="","",IF(H15&gt;0,H15,IF(F15="Sell Order",SUMIFS('Market Data'!$E$5:$E$504,'Market Data'!$A$5:$A$504,E15,'Market Data'!$B$5:$B$504,B15,'Market Data'!$D$5:$D$504,G15),SUMIFS('Market Data'!$F$5:$F$504,'Market Data'!$A$5:$A$504,E15,'Market Data'!$B$5:$B$504,B15,'Market Data'!$D$5:$D$504,G15))))</x:f>
      </x:c>
      <x:c r="V15" s="73" t="str">
        <x:f>IF(A15="","",U15*D15)</x:f>
      </x:c>
      <x:c r="W15" s="73" t="str">
        <x:f>IF(A15="","",V15*(Settings!$B$19+IF(F15="Sell Order",Settings!$B$13,0)))</x:f>
      </x:c>
      <x:c r="X15" s="73" t="str">
        <x:f>IF(A15="","",V15-W15+T15)</x:f>
      </x:c>
      <x:c r="Y15" s="73" t="str">
        <x:f>IF(A15="","",X15-P15-S15)</x:f>
      </x:c>
      <x:c r="Z15" s="50" t="str">
        <x:f>IF(A15="","",IF(V15=0,0,Y15/V15))</x:f>
      </x:c>
      <x:c r="AA15" s="72"/>
      <x:c r="AB15" s="68"/>
      <x:c r="AC15" s="73" t="str">
        <x:f>IF(A15="","",IF(K15="Yes",AA15*POWER(0.5,AB15/10000),0))</x:f>
      </x:c>
      <x:c r="AD15" s="73" t="str">
        <x:f>IF(A15="","",IF(K15="Yes",N15*((1-1/(1+I15+J15+Settings!$B$11))-(1-1/(1+I15+J15))),0))</x:f>
      </x:c>
      <x:c r="AE15" s="73" t="str">
        <x:f>IF(A15="","",IF(AC15&gt;0,AD15/AC15,0))</x:f>
      </x:c>
      <x:c r="AF15" s="73" t="str">
        <x:f>IF(A15="","",IF(D15=0,0,MAX(0,(P15+S15-T15)/(D15*(1-(Settings!$B$19+IF(F15="Sell Order",Settings!$B$13,0)))))))</x:f>
      </x:c>
      <x:c r="AG15" s="50" t="str">
        <x:f>IF(A15="","",IF(P15+S15=0,0,Y15/(P15+S15)))</x:f>
      </x:c>
      <x:c r="AH15" s="48" t="str">
        <x:f>IF(A15="","",IF(Y15&gt;0,"PROFIT",IF(Y15&lt;0,"LOSS","BREAK-EVEN")))</x:f>
      </x:c>
    </x:row>
    <x:row r="16">
      <x:c r="A16" s="42"/>
      <x:c r="B16" s="42"/>
      <x:c r="C16" s="42"/>
      <x:c r="D16" s="42"/>
      <x:c r="E16" s="42"/>
      <x:c r="F16" s="42"/>
      <x:c r="G16" s="42"/>
      <x:c r="H16" s="72"/>
      <x:c r="I16" s="76"/>
      <x:c r="J16" s="76"/>
      <x:c r="K16" s="42"/>
      <x:c r="L16" s="50" t="str">
        <x:f>IF(A16="","",I16+J16+IF(K16="Yes",Settings!$B$11,0))</x:f>
      </x:c>
      <x:c r="M16" s="50" t="str">
        <x:f>IF(A16="","",1-1/(1+L16))</x:f>
      </x:c>
      <x:c r="N16" s="73" t="str">
        <x:f>IF(A16="","",SUMIFS('Recipe Lines'!$N$5:$N$504,'Recipe Lines'!$A$5:$A$504,A16,'Recipe Lines'!$H$5:$H$504,"Yes"))</x:f>
      </x:c>
      <x:c r="O16" s="73" t="str">
        <x:f>IF(A16="","",SUMIFS('Recipe Lines'!$N$5:$N$504,'Recipe Lines'!$A$5:$A$504,A16,'Recipe Lines'!$H$5:$H$504,"No"))</x:f>
      </x:c>
      <x:c r="P16" s="73" t="str">
        <x:f>IF(A16="","",N16*(1-M16)+O16)</x:f>
      </x:c>
      <x:c r="Q16" s="46"/>
      <x:c r="R16" s="72"/>
      <x:c r="S16" s="73" t="str">
        <x:f>IF(A16="","",R16*0.1125*Q16)</x:f>
      </x:c>
      <x:c r="T16" s="72"/>
      <x:c r="U16" s="73" t="str">
        <x:f>IF(A16="","",IF(H16&gt;0,H16,IF(F16="Sell Order",SUMIFS('Market Data'!$E$5:$E$504,'Market Data'!$A$5:$A$504,E16,'Market Data'!$B$5:$B$504,B16,'Market Data'!$D$5:$D$504,G16),SUMIFS('Market Data'!$F$5:$F$504,'Market Data'!$A$5:$A$504,E16,'Market Data'!$B$5:$B$504,B16,'Market Data'!$D$5:$D$504,G16))))</x:f>
      </x:c>
      <x:c r="V16" s="73" t="str">
        <x:f>IF(A16="","",U16*D16)</x:f>
      </x:c>
      <x:c r="W16" s="73" t="str">
        <x:f>IF(A16="","",V16*(Settings!$B$19+IF(F16="Sell Order",Settings!$B$13,0)))</x:f>
      </x:c>
      <x:c r="X16" s="73" t="str">
        <x:f>IF(A16="","",V16-W16+T16)</x:f>
      </x:c>
      <x:c r="Y16" s="73" t="str">
        <x:f>IF(A16="","",X16-P16-S16)</x:f>
      </x:c>
      <x:c r="Z16" s="50" t="str">
        <x:f>IF(A16="","",IF(V16=0,0,Y16/V16))</x:f>
      </x:c>
      <x:c r="AA16" s="72"/>
      <x:c r="AB16" s="68"/>
      <x:c r="AC16" s="73" t="str">
        <x:f>IF(A16="","",IF(K16="Yes",AA16*POWER(0.5,AB16/10000),0))</x:f>
      </x:c>
      <x:c r="AD16" s="73" t="str">
        <x:f>IF(A16="","",IF(K16="Yes",N16*((1-1/(1+I16+J16+Settings!$B$11))-(1-1/(1+I16+J16))),0))</x:f>
      </x:c>
      <x:c r="AE16" s="73" t="str">
        <x:f>IF(A16="","",IF(AC16&gt;0,AD16/AC16,0))</x:f>
      </x:c>
      <x:c r="AF16" s="73" t="str">
        <x:f>IF(A16="","",IF(D16=0,0,MAX(0,(P16+S16-T16)/(D16*(1-(Settings!$B$19+IF(F16="Sell Order",Settings!$B$13,0)))))))</x:f>
      </x:c>
      <x:c r="AG16" s="50" t="str">
        <x:f>IF(A16="","",IF(P16+S16=0,0,Y16/(P16+S16)))</x:f>
      </x:c>
      <x:c r="AH16" s="48" t="str">
        <x:f>IF(A16="","",IF(Y16&gt;0,"PROFIT",IF(Y16&lt;0,"LOSS","BREAK-EVEN")))</x:f>
      </x:c>
    </x:row>
    <x:row r="17">
      <x:c r="A17" s="42"/>
      <x:c r="B17" s="42"/>
      <x:c r="C17" s="42"/>
      <x:c r="D17" s="42"/>
      <x:c r="E17" s="42"/>
      <x:c r="F17" s="42"/>
      <x:c r="G17" s="42"/>
      <x:c r="H17" s="72"/>
      <x:c r="I17" s="76"/>
      <x:c r="J17" s="76"/>
      <x:c r="K17" s="42"/>
      <x:c r="L17" s="50" t="str">
        <x:f>IF(A17="","",I17+J17+IF(K17="Yes",Settings!$B$11,0))</x:f>
      </x:c>
      <x:c r="M17" s="50" t="str">
        <x:f>IF(A17="","",1-1/(1+L17))</x:f>
      </x:c>
      <x:c r="N17" s="73" t="str">
        <x:f>IF(A17="","",SUMIFS('Recipe Lines'!$N$5:$N$504,'Recipe Lines'!$A$5:$A$504,A17,'Recipe Lines'!$H$5:$H$504,"Yes"))</x:f>
      </x:c>
      <x:c r="O17" s="73" t="str">
        <x:f>IF(A17="","",SUMIFS('Recipe Lines'!$N$5:$N$504,'Recipe Lines'!$A$5:$A$504,A17,'Recipe Lines'!$H$5:$H$504,"No"))</x:f>
      </x:c>
      <x:c r="P17" s="73" t="str">
        <x:f>IF(A17="","",N17*(1-M17)+O17)</x:f>
      </x:c>
      <x:c r="Q17" s="46"/>
      <x:c r="R17" s="72"/>
      <x:c r="S17" s="73" t="str">
        <x:f>IF(A17="","",R17*0.1125*Q17)</x:f>
      </x:c>
      <x:c r="T17" s="72"/>
      <x:c r="U17" s="73" t="str">
        <x:f>IF(A17="","",IF(H17&gt;0,H17,IF(F17="Sell Order",SUMIFS('Market Data'!$E$5:$E$504,'Market Data'!$A$5:$A$504,E17,'Market Data'!$B$5:$B$504,B17,'Market Data'!$D$5:$D$504,G17),SUMIFS('Market Data'!$F$5:$F$504,'Market Data'!$A$5:$A$504,E17,'Market Data'!$B$5:$B$504,B17,'Market Data'!$D$5:$D$504,G17))))</x:f>
      </x:c>
      <x:c r="V17" s="73" t="str">
        <x:f>IF(A17="","",U17*D17)</x:f>
      </x:c>
      <x:c r="W17" s="73" t="str">
        <x:f>IF(A17="","",V17*(Settings!$B$19+IF(F17="Sell Order",Settings!$B$13,0)))</x:f>
      </x:c>
      <x:c r="X17" s="73" t="str">
        <x:f>IF(A17="","",V17-W17+T17)</x:f>
      </x:c>
      <x:c r="Y17" s="73" t="str">
        <x:f>IF(A17="","",X17-P17-S17)</x:f>
      </x:c>
      <x:c r="Z17" s="50" t="str">
        <x:f>IF(A17="","",IF(V17=0,0,Y17/V17))</x:f>
      </x:c>
      <x:c r="AA17" s="72"/>
      <x:c r="AB17" s="68"/>
      <x:c r="AC17" s="73" t="str">
        <x:f>IF(A17="","",IF(K17="Yes",AA17*POWER(0.5,AB17/10000),0))</x:f>
      </x:c>
      <x:c r="AD17" s="73" t="str">
        <x:f>IF(A17="","",IF(K17="Yes",N17*((1-1/(1+I17+J17+Settings!$B$11))-(1-1/(1+I17+J17))),0))</x:f>
      </x:c>
      <x:c r="AE17" s="73" t="str">
        <x:f>IF(A17="","",IF(AC17&gt;0,AD17/AC17,0))</x:f>
      </x:c>
      <x:c r="AF17" s="73" t="str">
        <x:f>IF(A17="","",IF(D17=0,0,MAX(0,(P17+S17-T17)/(D17*(1-(Settings!$B$19+IF(F17="Sell Order",Settings!$B$13,0)))))))</x:f>
      </x:c>
      <x:c r="AG17" s="50" t="str">
        <x:f>IF(A17="","",IF(P17+S17=0,0,Y17/(P17+S17)))</x:f>
      </x:c>
      <x:c r="AH17" s="48" t="str">
        <x:f>IF(A17="","",IF(Y17&gt;0,"PROFIT",IF(Y17&lt;0,"LOSS","BREAK-EVEN")))</x:f>
      </x:c>
    </x:row>
    <x:row r="18">
      <x:c r="A18" s="42"/>
      <x:c r="B18" s="42"/>
      <x:c r="C18" s="42"/>
      <x:c r="D18" s="42"/>
      <x:c r="E18" s="42"/>
      <x:c r="F18" s="42"/>
      <x:c r="G18" s="42"/>
      <x:c r="H18" s="72"/>
      <x:c r="I18" s="76"/>
      <x:c r="J18" s="76"/>
      <x:c r="K18" s="42"/>
      <x:c r="L18" s="50" t="str">
        <x:f>IF(A18="","",I18+J18+IF(K18="Yes",Settings!$B$11,0))</x:f>
      </x:c>
      <x:c r="M18" s="50" t="str">
        <x:f>IF(A18="","",1-1/(1+L18))</x:f>
      </x:c>
      <x:c r="N18" s="73" t="str">
        <x:f>IF(A18="","",SUMIFS('Recipe Lines'!$N$5:$N$504,'Recipe Lines'!$A$5:$A$504,A18,'Recipe Lines'!$H$5:$H$504,"Yes"))</x:f>
      </x:c>
      <x:c r="O18" s="73" t="str">
        <x:f>IF(A18="","",SUMIFS('Recipe Lines'!$N$5:$N$504,'Recipe Lines'!$A$5:$A$504,A18,'Recipe Lines'!$H$5:$H$504,"No"))</x:f>
      </x:c>
      <x:c r="P18" s="73" t="str">
        <x:f>IF(A18="","",N18*(1-M18)+O18)</x:f>
      </x:c>
      <x:c r="Q18" s="46"/>
      <x:c r="R18" s="72"/>
      <x:c r="S18" s="73" t="str">
        <x:f>IF(A18="","",R18*0.1125*Q18)</x:f>
      </x:c>
      <x:c r="T18" s="72"/>
      <x:c r="U18" s="73" t="str">
        <x:f>IF(A18="","",IF(H18&gt;0,H18,IF(F18="Sell Order",SUMIFS('Market Data'!$E$5:$E$504,'Market Data'!$A$5:$A$504,E18,'Market Data'!$B$5:$B$504,B18,'Market Data'!$D$5:$D$504,G18),SUMIFS('Market Data'!$F$5:$F$504,'Market Data'!$A$5:$A$504,E18,'Market Data'!$B$5:$B$504,B18,'Market Data'!$D$5:$D$504,G18))))</x:f>
      </x:c>
      <x:c r="V18" s="73" t="str">
        <x:f>IF(A18="","",U18*D18)</x:f>
      </x:c>
      <x:c r="W18" s="73" t="str">
        <x:f>IF(A18="","",V18*(Settings!$B$19+IF(F18="Sell Order",Settings!$B$13,0)))</x:f>
      </x:c>
      <x:c r="X18" s="73" t="str">
        <x:f>IF(A18="","",V18-W18+T18)</x:f>
      </x:c>
      <x:c r="Y18" s="73" t="str">
        <x:f>IF(A18="","",X18-P18-S18)</x:f>
      </x:c>
      <x:c r="Z18" s="50" t="str">
        <x:f>IF(A18="","",IF(V18=0,0,Y18/V18))</x:f>
      </x:c>
      <x:c r="AA18" s="72"/>
      <x:c r="AB18" s="68"/>
      <x:c r="AC18" s="73" t="str">
        <x:f>IF(A18="","",IF(K18="Yes",AA18*POWER(0.5,AB18/10000),0))</x:f>
      </x:c>
      <x:c r="AD18" s="73" t="str">
        <x:f>IF(A18="","",IF(K18="Yes",N18*((1-1/(1+I18+J18+Settings!$B$11))-(1-1/(1+I18+J18))),0))</x:f>
      </x:c>
      <x:c r="AE18" s="73" t="str">
        <x:f>IF(A18="","",IF(AC18&gt;0,AD18/AC18,0))</x:f>
      </x:c>
      <x:c r="AF18" s="73" t="str">
        <x:f>IF(A18="","",IF(D18=0,0,MAX(0,(P18+S18-T18)/(D18*(1-(Settings!$B$19+IF(F18="Sell Order",Settings!$B$13,0)))))))</x:f>
      </x:c>
      <x:c r="AG18" s="50" t="str">
        <x:f>IF(A18="","",IF(P18+S18=0,0,Y18/(P18+S18)))</x:f>
      </x:c>
      <x:c r="AH18" s="48" t="str">
        <x:f>IF(A18="","",IF(Y18&gt;0,"PROFIT",IF(Y18&lt;0,"LOSS","BREAK-EVEN")))</x:f>
      </x:c>
    </x:row>
    <x:row r="19">
      <x:c r="A19" s="42"/>
      <x:c r="B19" s="42"/>
      <x:c r="C19" s="42"/>
      <x:c r="D19" s="42"/>
      <x:c r="E19" s="42"/>
      <x:c r="F19" s="42"/>
      <x:c r="G19" s="42"/>
      <x:c r="H19" s="72"/>
      <x:c r="I19" s="76"/>
      <x:c r="J19" s="76"/>
      <x:c r="K19" s="42"/>
      <x:c r="L19" s="50" t="str">
        <x:f>IF(A19="","",I19+J19+IF(K19="Yes",Settings!$B$11,0))</x:f>
      </x:c>
      <x:c r="M19" s="50" t="str">
        <x:f>IF(A19="","",1-1/(1+L19))</x:f>
      </x:c>
      <x:c r="N19" s="73" t="str">
        <x:f>IF(A19="","",SUMIFS('Recipe Lines'!$N$5:$N$504,'Recipe Lines'!$A$5:$A$504,A19,'Recipe Lines'!$H$5:$H$504,"Yes"))</x:f>
      </x:c>
      <x:c r="O19" s="73" t="str">
        <x:f>IF(A19="","",SUMIFS('Recipe Lines'!$N$5:$N$504,'Recipe Lines'!$A$5:$A$504,A19,'Recipe Lines'!$H$5:$H$504,"No"))</x:f>
      </x:c>
      <x:c r="P19" s="73" t="str">
        <x:f>IF(A19="","",N19*(1-M19)+O19)</x:f>
      </x:c>
      <x:c r="Q19" s="46"/>
      <x:c r="R19" s="72"/>
      <x:c r="S19" s="73" t="str">
        <x:f>IF(A19="","",R19*0.1125*Q19)</x:f>
      </x:c>
      <x:c r="T19" s="72"/>
      <x:c r="U19" s="73" t="str">
        <x:f>IF(A19="","",IF(H19&gt;0,H19,IF(F19="Sell Order",SUMIFS('Market Data'!$E$5:$E$504,'Market Data'!$A$5:$A$504,E19,'Market Data'!$B$5:$B$504,B19,'Market Data'!$D$5:$D$504,G19),SUMIFS('Market Data'!$F$5:$F$504,'Market Data'!$A$5:$A$504,E19,'Market Data'!$B$5:$B$504,B19,'Market Data'!$D$5:$D$504,G19))))</x:f>
      </x:c>
      <x:c r="V19" s="73" t="str">
        <x:f>IF(A19="","",U19*D19)</x:f>
      </x:c>
      <x:c r="W19" s="73" t="str">
        <x:f>IF(A19="","",V19*(Settings!$B$19+IF(F19="Sell Order",Settings!$B$13,0)))</x:f>
      </x:c>
      <x:c r="X19" s="73" t="str">
        <x:f>IF(A19="","",V19-W19+T19)</x:f>
      </x:c>
      <x:c r="Y19" s="73" t="str">
        <x:f>IF(A19="","",X19-P19-S19)</x:f>
      </x:c>
      <x:c r="Z19" s="50" t="str">
        <x:f>IF(A19="","",IF(V19=0,0,Y19/V19))</x:f>
      </x:c>
      <x:c r="AA19" s="72"/>
      <x:c r="AB19" s="68"/>
      <x:c r="AC19" s="73" t="str">
        <x:f>IF(A19="","",IF(K19="Yes",AA19*POWER(0.5,AB19/10000),0))</x:f>
      </x:c>
      <x:c r="AD19" s="73" t="str">
        <x:f>IF(A19="","",IF(K19="Yes",N19*((1-1/(1+I19+J19+Settings!$B$11))-(1-1/(1+I19+J19))),0))</x:f>
      </x:c>
      <x:c r="AE19" s="73" t="str">
        <x:f>IF(A19="","",IF(AC19&gt;0,AD19/AC19,0))</x:f>
      </x:c>
      <x:c r="AF19" s="73" t="str">
        <x:f>IF(A19="","",IF(D19=0,0,MAX(0,(P19+S19-T19)/(D19*(1-(Settings!$B$19+IF(F19="Sell Order",Settings!$B$13,0)))))))</x:f>
      </x:c>
      <x:c r="AG19" s="50" t="str">
        <x:f>IF(A19="","",IF(P19+S19=0,0,Y19/(P19+S19)))</x:f>
      </x:c>
      <x:c r="AH19" s="48" t="str">
        <x:f>IF(A19="","",IF(Y19&gt;0,"PROFIT",IF(Y19&lt;0,"LOSS","BREAK-EVEN")))</x:f>
      </x:c>
    </x:row>
    <x:row r="20">
      <x:c r="A20" s="42"/>
      <x:c r="B20" s="42"/>
      <x:c r="C20" s="42"/>
      <x:c r="D20" s="42"/>
      <x:c r="E20" s="42"/>
      <x:c r="F20" s="42"/>
      <x:c r="G20" s="42"/>
      <x:c r="H20" s="72"/>
      <x:c r="I20" s="76"/>
      <x:c r="J20" s="76"/>
      <x:c r="K20" s="42"/>
      <x:c r="L20" s="50" t="str">
        <x:f>IF(A20="","",I20+J20+IF(K20="Yes",Settings!$B$11,0))</x:f>
      </x:c>
      <x:c r="M20" s="50" t="str">
        <x:f>IF(A20="","",1-1/(1+L20))</x:f>
      </x:c>
      <x:c r="N20" s="73" t="str">
        <x:f>IF(A20="","",SUMIFS('Recipe Lines'!$N$5:$N$504,'Recipe Lines'!$A$5:$A$504,A20,'Recipe Lines'!$H$5:$H$504,"Yes"))</x:f>
      </x:c>
      <x:c r="O20" s="73" t="str">
        <x:f>IF(A20="","",SUMIFS('Recipe Lines'!$N$5:$N$504,'Recipe Lines'!$A$5:$A$504,A20,'Recipe Lines'!$H$5:$H$504,"No"))</x:f>
      </x:c>
      <x:c r="P20" s="73" t="str">
        <x:f>IF(A20="","",N20*(1-M20)+O20)</x:f>
      </x:c>
      <x:c r="Q20" s="46"/>
      <x:c r="R20" s="72"/>
      <x:c r="S20" s="73" t="str">
        <x:f>IF(A20="","",R20*0.1125*Q20)</x:f>
      </x:c>
      <x:c r="T20" s="72"/>
      <x:c r="U20" s="73" t="str">
        <x:f>IF(A20="","",IF(H20&gt;0,H20,IF(F20="Sell Order",SUMIFS('Market Data'!$E$5:$E$504,'Market Data'!$A$5:$A$504,E20,'Market Data'!$B$5:$B$504,B20,'Market Data'!$D$5:$D$504,G20),SUMIFS('Market Data'!$F$5:$F$504,'Market Data'!$A$5:$A$504,E20,'Market Data'!$B$5:$B$504,B20,'Market Data'!$D$5:$D$504,G20))))</x:f>
      </x:c>
      <x:c r="V20" s="73" t="str">
        <x:f>IF(A20="","",U20*D20)</x:f>
      </x:c>
      <x:c r="W20" s="73" t="str">
        <x:f>IF(A20="","",V20*(Settings!$B$19+IF(F20="Sell Order",Settings!$B$13,0)))</x:f>
      </x:c>
      <x:c r="X20" s="73" t="str">
        <x:f>IF(A20="","",V20-W20+T20)</x:f>
      </x:c>
      <x:c r="Y20" s="73" t="str">
        <x:f>IF(A20="","",X20-P20-S20)</x:f>
      </x:c>
      <x:c r="Z20" s="50" t="str">
        <x:f>IF(A20="","",IF(V20=0,0,Y20/V20))</x:f>
      </x:c>
      <x:c r="AA20" s="72"/>
      <x:c r="AB20" s="68"/>
      <x:c r="AC20" s="73" t="str">
        <x:f>IF(A20="","",IF(K20="Yes",AA20*POWER(0.5,AB20/10000),0))</x:f>
      </x:c>
      <x:c r="AD20" s="73" t="str">
        <x:f>IF(A20="","",IF(K20="Yes",N20*((1-1/(1+I20+J20+Settings!$B$11))-(1-1/(1+I20+J20))),0))</x:f>
      </x:c>
      <x:c r="AE20" s="73" t="str">
        <x:f>IF(A20="","",IF(AC20&gt;0,AD20/AC20,0))</x:f>
      </x:c>
      <x:c r="AF20" s="73" t="str">
        <x:f>IF(A20="","",IF(D20=0,0,MAX(0,(P20+S20-T20)/(D20*(1-(Settings!$B$19+IF(F20="Sell Order",Settings!$B$13,0)))))))</x:f>
      </x:c>
      <x:c r="AG20" s="50" t="str">
        <x:f>IF(A20="","",IF(P20+S20=0,0,Y20/(P20+S20)))</x:f>
      </x:c>
      <x:c r="AH20" s="48" t="str">
        <x:f>IF(A20="","",IF(Y20&gt;0,"PROFIT",IF(Y20&lt;0,"LOSS","BREAK-EVEN")))</x:f>
      </x:c>
    </x:row>
    <x:row r="21">
      <x:c r="A21" s="42"/>
      <x:c r="B21" s="42"/>
      <x:c r="C21" s="42"/>
      <x:c r="D21" s="42"/>
      <x:c r="E21" s="42"/>
      <x:c r="F21" s="42"/>
      <x:c r="G21" s="42"/>
      <x:c r="H21" s="72"/>
      <x:c r="I21" s="76"/>
      <x:c r="J21" s="76"/>
      <x:c r="K21" s="42"/>
      <x:c r="L21" s="50" t="str">
        <x:f>IF(A21="","",I21+J21+IF(K21="Yes",Settings!$B$11,0))</x:f>
      </x:c>
      <x:c r="M21" s="50" t="str">
        <x:f>IF(A21="","",1-1/(1+L21))</x:f>
      </x:c>
      <x:c r="N21" s="73" t="str">
        <x:f>IF(A21="","",SUMIFS('Recipe Lines'!$N$5:$N$504,'Recipe Lines'!$A$5:$A$504,A21,'Recipe Lines'!$H$5:$H$504,"Yes"))</x:f>
      </x:c>
      <x:c r="O21" s="73" t="str">
        <x:f>IF(A21="","",SUMIFS('Recipe Lines'!$N$5:$N$504,'Recipe Lines'!$A$5:$A$504,A21,'Recipe Lines'!$H$5:$H$504,"No"))</x:f>
      </x:c>
      <x:c r="P21" s="73" t="str">
        <x:f>IF(A21="","",N21*(1-M21)+O21)</x:f>
      </x:c>
      <x:c r="Q21" s="46"/>
      <x:c r="R21" s="72"/>
      <x:c r="S21" s="73" t="str">
        <x:f>IF(A21="","",R21*0.1125*Q21)</x:f>
      </x:c>
      <x:c r="T21" s="72"/>
      <x:c r="U21" s="73" t="str">
        <x:f>IF(A21="","",IF(H21&gt;0,H21,IF(F21="Sell Order",SUMIFS('Market Data'!$E$5:$E$504,'Market Data'!$A$5:$A$504,E21,'Market Data'!$B$5:$B$504,B21,'Market Data'!$D$5:$D$504,G21),SUMIFS('Market Data'!$F$5:$F$504,'Market Data'!$A$5:$A$504,E21,'Market Data'!$B$5:$B$504,B21,'Market Data'!$D$5:$D$504,G21))))</x:f>
      </x:c>
      <x:c r="V21" s="73" t="str">
        <x:f>IF(A21="","",U21*D21)</x:f>
      </x:c>
      <x:c r="W21" s="73" t="str">
        <x:f>IF(A21="","",V21*(Settings!$B$19+IF(F21="Sell Order",Settings!$B$13,0)))</x:f>
      </x:c>
      <x:c r="X21" s="73" t="str">
        <x:f>IF(A21="","",V21-W21+T21)</x:f>
      </x:c>
      <x:c r="Y21" s="73" t="str">
        <x:f>IF(A21="","",X21-P21-S21)</x:f>
      </x:c>
      <x:c r="Z21" s="50" t="str">
        <x:f>IF(A21="","",IF(V21=0,0,Y21/V21))</x:f>
      </x:c>
      <x:c r="AA21" s="72"/>
      <x:c r="AB21" s="68"/>
      <x:c r="AC21" s="73" t="str">
        <x:f>IF(A21="","",IF(K21="Yes",AA21*POWER(0.5,AB21/10000),0))</x:f>
      </x:c>
      <x:c r="AD21" s="73" t="str">
        <x:f>IF(A21="","",IF(K21="Yes",N21*((1-1/(1+I21+J21+Settings!$B$11))-(1-1/(1+I21+J21))),0))</x:f>
      </x:c>
      <x:c r="AE21" s="73" t="str">
        <x:f>IF(A21="","",IF(AC21&gt;0,AD21/AC21,0))</x:f>
      </x:c>
      <x:c r="AF21" s="73" t="str">
        <x:f>IF(A21="","",IF(D21=0,0,MAX(0,(P21+S21-T21)/(D21*(1-(Settings!$B$19+IF(F21="Sell Order",Settings!$B$13,0)))))))</x:f>
      </x:c>
      <x:c r="AG21" s="50" t="str">
        <x:f>IF(A21="","",IF(P21+S21=0,0,Y21/(P21+S21)))</x:f>
      </x:c>
      <x:c r="AH21" s="48" t="str">
        <x:f>IF(A21="","",IF(Y21&gt;0,"PROFIT",IF(Y21&lt;0,"LOSS","BREAK-EVEN")))</x:f>
      </x:c>
    </x:row>
    <x:row r="22">
      <x:c r="A22" s="42"/>
      <x:c r="B22" s="42"/>
      <x:c r="C22" s="42"/>
      <x:c r="D22" s="42"/>
      <x:c r="E22" s="42"/>
      <x:c r="F22" s="42"/>
      <x:c r="G22" s="42"/>
      <x:c r="H22" s="72"/>
      <x:c r="I22" s="76"/>
      <x:c r="J22" s="76"/>
      <x:c r="K22" s="42"/>
      <x:c r="L22" s="50" t="str">
        <x:f>IF(A22="","",I22+J22+IF(K22="Yes",Settings!$B$11,0))</x:f>
      </x:c>
      <x:c r="M22" s="50" t="str">
        <x:f>IF(A22="","",1-1/(1+L22))</x:f>
      </x:c>
      <x:c r="N22" s="73" t="str">
        <x:f>IF(A22="","",SUMIFS('Recipe Lines'!$N$5:$N$504,'Recipe Lines'!$A$5:$A$504,A22,'Recipe Lines'!$H$5:$H$504,"Yes"))</x:f>
      </x:c>
      <x:c r="O22" s="73" t="str">
        <x:f>IF(A22="","",SUMIFS('Recipe Lines'!$N$5:$N$504,'Recipe Lines'!$A$5:$A$504,A22,'Recipe Lines'!$H$5:$H$504,"No"))</x:f>
      </x:c>
      <x:c r="P22" s="73" t="str">
        <x:f>IF(A22="","",N22*(1-M22)+O22)</x:f>
      </x:c>
      <x:c r="Q22" s="46"/>
      <x:c r="R22" s="72"/>
      <x:c r="S22" s="73" t="str">
        <x:f>IF(A22="","",R22*0.1125*Q22)</x:f>
      </x:c>
      <x:c r="T22" s="72"/>
      <x:c r="U22" s="73" t="str">
        <x:f>IF(A22="","",IF(H22&gt;0,H22,IF(F22="Sell Order",SUMIFS('Market Data'!$E$5:$E$504,'Market Data'!$A$5:$A$504,E22,'Market Data'!$B$5:$B$504,B22,'Market Data'!$D$5:$D$504,G22),SUMIFS('Market Data'!$F$5:$F$504,'Market Data'!$A$5:$A$504,E22,'Market Data'!$B$5:$B$504,B22,'Market Data'!$D$5:$D$504,G22))))</x:f>
      </x:c>
      <x:c r="V22" s="73" t="str">
        <x:f>IF(A22="","",U22*D22)</x:f>
      </x:c>
      <x:c r="W22" s="73" t="str">
        <x:f>IF(A22="","",V22*(Settings!$B$19+IF(F22="Sell Order",Settings!$B$13,0)))</x:f>
      </x:c>
      <x:c r="X22" s="73" t="str">
        <x:f>IF(A22="","",V22-W22+T22)</x:f>
      </x:c>
      <x:c r="Y22" s="73" t="str">
        <x:f>IF(A22="","",X22-P22-S22)</x:f>
      </x:c>
      <x:c r="Z22" s="50" t="str">
        <x:f>IF(A22="","",IF(V22=0,0,Y22/V22))</x:f>
      </x:c>
      <x:c r="AA22" s="72"/>
      <x:c r="AB22" s="68"/>
      <x:c r="AC22" s="73" t="str">
        <x:f>IF(A22="","",IF(K22="Yes",AA22*POWER(0.5,AB22/10000),0))</x:f>
      </x:c>
      <x:c r="AD22" s="73" t="str">
        <x:f>IF(A22="","",IF(K22="Yes",N22*((1-1/(1+I22+J22+Settings!$B$11))-(1-1/(1+I22+J22))),0))</x:f>
      </x:c>
      <x:c r="AE22" s="73" t="str">
        <x:f>IF(A22="","",IF(AC22&gt;0,AD22/AC22,0))</x:f>
      </x:c>
      <x:c r="AF22" s="73" t="str">
        <x:f>IF(A22="","",IF(D22=0,0,MAX(0,(P22+S22-T22)/(D22*(1-(Settings!$B$19+IF(F22="Sell Order",Settings!$B$13,0)))))))</x:f>
      </x:c>
      <x:c r="AG22" s="50" t="str">
        <x:f>IF(A22="","",IF(P22+S22=0,0,Y22/(P22+S22)))</x:f>
      </x:c>
      <x:c r="AH22" s="48" t="str">
        <x:f>IF(A22="","",IF(Y22&gt;0,"PROFIT",IF(Y22&lt;0,"LOSS","BREAK-EVEN")))</x:f>
      </x:c>
    </x:row>
    <x:row r="23">
      <x:c r="A23" s="42"/>
      <x:c r="B23" s="42"/>
      <x:c r="C23" s="42"/>
      <x:c r="D23" s="42"/>
      <x:c r="E23" s="42"/>
      <x:c r="F23" s="42"/>
      <x:c r="G23" s="42"/>
      <x:c r="H23" s="72"/>
      <x:c r="I23" s="76"/>
      <x:c r="J23" s="76"/>
      <x:c r="K23" s="42"/>
      <x:c r="L23" s="50" t="str">
        <x:f>IF(A23="","",I23+J23+IF(K23="Yes",Settings!$B$11,0))</x:f>
      </x:c>
      <x:c r="M23" s="50" t="str">
        <x:f>IF(A23="","",1-1/(1+L23))</x:f>
      </x:c>
      <x:c r="N23" s="73" t="str">
        <x:f>IF(A23="","",SUMIFS('Recipe Lines'!$N$5:$N$504,'Recipe Lines'!$A$5:$A$504,A23,'Recipe Lines'!$H$5:$H$504,"Yes"))</x:f>
      </x:c>
      <x:c r="O23" s="73" t="str">
        <x:f>IF(A23="","",SUMIFS('Recipe Lines'!$N$5:$N$504,'Recipe Lines'!$A$5:$A$504,A23,'Recipe Lines'!$H$5:$H$504,"No"))</x:f>
      </x:c>
      <x:c r="P23" s="73" t="str">
        <x:f>IF(A23="","",N23*(1-M23)+O23)</x:f>
      </x:c>
      <x:c r="Q23" s="46"/>
      <x:c r="R23" s="72"/>
      <x:c r="S23" s="73" t="str">
        <x:f>IF(A23="","",R23*0.1125*Q23)</x:f>
      </x:c>
      <x:c r="T23" s="72"/>
      <x:c r="U23" s="73" t="str">
        <x:f>IF(A23="","",IF(H23&gt;0,H23,IF(F23="Sell Order",SUMIFS('Market Data'!$E$5:$E$504,'Market Data'!$A$5:$A$504,E23,'Market Data'!$B$5:$B$504,B23,'Market Data'!$D$5:$D$504,G23),SUMIFS('Market Data'!$F$5:$F$504,'Market Data'!$A$5:$A$504,E23,'Market Data'!$B$5:$B$504,B23,'Market Data'!$D$5:$D$504,G23))))</x:f>
      </x:c>
      <x:c r="V23" s="73" t="str">
        <x:f>IF(A23="","",U23*D23)</x:f>
      </x:c>
      <x:c r="W23" s="73" t="str">
        <x:f>IF(A23="","",V23*(Settings!$B$19+IF(F23="Sell Order",Settings!$B$13,0)))</x:f>
      </x:c>
      <x:c r="X23" s="73" t="str">
        <x:f>IF(A23="","",V23-W23+T23)</x:f>
      </x:c>
      <x:c r="Y23" s="73" t="str">
        <x:f>IF(A23="","",X23-P23-S23)</x:f>
      </x:c>
      <x:c r="Z23" s="50" t="str">
        <x:f>IF(A23="","",IF(V23=0,0,Y23/V23))</x:f>
      </x:c>
      <x:c r="AA23" s="72"/>
      <x:c r="AB23" s="68"/>
      <x:c r="AC23" s="73" t="str">
        <x:f>IF(A23="","",IF(K23="Yes",AA23*POWER(0.5,AB23/10000),0))</x:f>
      </x:c>
      <x:c r="AD23" s="73" t="str">
        <x:f>IF(A23="","",IF(K23="Yes",N23*((1-1/(1+I23+J23+Settings!$B$11))-(1-1/(1+I23+J23))),0))</x:f>
      </x:c>
      <x:c r="AE23" s="73" t="str">
        <x:f>IF(A23="","",IF(AC23&gt;0,AD23/AC23,0))</x:f>
      </x:c>
      <x:c r="AF23" s="73" t="str">
        <x:f>IF(A23="","",IF(D23=0,0,MAX(0,(P23+S23-T23)/(D23*(1-(Settings!$B$19+IF(F23="Sell Order",Settings!$B$13,0)))))))</x:f>
      </x:c>
      <x:c r="AG23" s="50" t="str">
        <x:f>IF(A23="","",IF(P23+S23=0,0,Y23/(P23+S23)))</x:f>
      </x:c>
      <x:c r="AH23" s="48" t="str">
        <x:f>IF(A23="","",IF(Y23&gt;0,"PROFIT",IF(Y23&lt;0,"LOSS","BREAK-EVEN")))</x:f>
      </x:c>
    </x:row>
    <x:row r="24">
      <x:c r="A24" s="42"/>
      <x:c r="B24" s="42"/>
      <x:c r="C24" s="42"/>
      <x:c r="D24" s="42"/>
      <x:c r="E24" s="42"/>
      <x:c r="F24" s="42"/>
      <x:c r="G24" s="42"/>
      <x:c r="H24" s="72"/>
      <x:c r="I24" s="76"/>
      <x:c r="J24" s="76"/>
      <x:c r="K24" s="42"/>
      <x:c r="L24" s="50" t="str">
        <x:f>IF(A24="","",I24+J24+IF(K24="Yes",Settings!$B$11,0))</x:f>
      </x:c>
      <x:c r="M24" s="50" t="str">
        <x:f>IF(A24="","",1-1/(1+L24))</x:f>
      </x:c>
      <x:c r="N24" s="73" t="str">
        <x:f>IF(A24="","",SUMIFS('Recipe Lines'!$N$5:$N$504,'Recipe Lines'!$A$5:$A$504,A24,'Recipe Lines'!$H$5:$H$504,"Yes"))</x:f>
      </x:c>
      <x:c r="O24" s="73" t="str">
        <x:f>IF(A24="","",SUMIFS('Recipe Lines'!$N$5:$N$504,'Recipe Lines'!$A$5:$A$504,A24,'Recipe Lines'!$H$5:$H$504,"No"))</x:f>
      </x:c>
      <x:c r="P24" s="73" t="str">
        <x:f>IF(A24="","",N24*(1-M24)+O24)</x:f>
      </x:c>
      <x:c r="Q24" s="46"/>
      <x:c r="R24" s="72"/>
      <x:c r="S24" s="73" t="str">
        <x:f>IF(A24="","",R24*0.1125*Q24)</x:f>
      </x:c>
      <x:c r="T24" s="72"/>
      <x:c r="U24" s="73" t="str">
        <x:f>IF(A24="","",IF(H24&gt;0,H24,IF(F24="Sell Order",SUMIFS('Market Data'!$E$5:$E$504,'Market Data'!$A$5:$A$504,E24,'Market Data'!$B$5:$B$504,B24,'Market Data'!$D$5:$D$504,G24),SUMIFS('Market Data'!$F$5:$F$504,'Market Data'!$A$5:$A$504,E24,'Market Data'!$B$5:$B$504,B24,'Market Data'!$D$5:$D$504,G24))))</x:f>
      </x:c>
      <x:c r="V24" s="73" t="str">
        <x:f>IF(A24="","",U24*D24)</x:f>
      </x:c>
      <x:c r="W24" s="73" t="str">
        <x:f>IF(A24="","",V24*(Settings!$B$19+IF(F24="Sell Order",Settings!$B$13,0)))</x:f>
      </x:c>
      <x:c r="X24" s="73" t="str">
        <x:f>IF(A24="","",V24-W24+T24)</x:f>
      </x:c>
      <x:c r="Y24" s="73" t="str">
        <x:f>IF(A24="","",X24-P24-S24)</x:f>
      </x:c>
      <x:c r="Z24" s="50" t="str">
        <x:f>IF(A24="","",IF(V24=0,0,Y24/V24))</x:f>
      </x:c>
      <x:c r="AA24" s="72"/>
      <x:c r="AB24" s="68"/>
      <x:c r="AC24" s="73" t="str">
        <x:f>IF(A24="","",IF(K24="Yes",AA24*POWER(0.5,AB24/10000),0))</x:f>
      </x:c>
      <x:c r="AD24" s="73" t="str">
        <x:f>IF(A24="","",IF(K24="Yes",N24*((1-1/(1+I24+J24+Settings!$B$11))-(1-1/(1+I24+J24))),0))</x:f>
      </x:c>
      <x:c r="AE24" s="73" t="str">
        <x:f>IF(A24="","",IF(AC24&gt;0,AD24/AC24,0))</x:f>
      </x:c>
      <x:c r="AF24" s="73" t="str">
        <x:f>IF(A24="","",IF(D24=0,0,MAX(0,(P24+S24-T24)/(D24*(1-(Settings!$B$19+IF(F24="Sell Order",Settings!$B$13,0)))))))</x:f>
      </x:c>
      <x:c r="AG24" s="50" t="str">
        <x:f>IF(A24="","",IF(P24+S24=0,0,Y24/(P24+S24)))</x:f>
      </x:c>
      <x:c r="AH24" s="48" t="str">
        <x:f>IF(A24="","",IF(Y24&gt;0,"PROFIT",IF(Y24&lt;0,"LOSS","BREAK-EVEN")))</x:f>
      </x:c>
    </x:row>
    <x:row r="25">
      <x:c r="A25" s="42"/>
      <x:c r="B25" s="42"/>
      <x:c r="C25" s="42"/>
      <x:c r="D25" s="42"/>
      <x:c r="E25" s="42"/>
      <x:c r="F25" s="42"/>
      <x:c r="G25" s="42"/>
      <x:c r="H25" s="72"/>
      <x:c r="I25" s="76"/>
      <x:c r="J25" s="76"/>
      <x:c r="K25" s="42"/>
      <x:c r="L25" s="50" t="str">
        <x:f>IF(A25="","",I25+J25+IF(K25="Yes",Settings!$B$11,0))</x:f>
      </x:c>
      <x:c r="M25" s="50" t="str">
        <x:f>IF(A25="","",1-1/(1+L25))</x:f>
      </x:c>
      <x:c r="N25" s="73" t="str">
        <x:f>IF(A25="","",SUMIFS('Recipe Lines'!$N$5:$N$504,'Recipe Lines'!$A$5:$A$504,A25,'Recipe Lines'!$H$5:$H$504,"Yes"))</x:f>
      </x:c>
      <x:c r="O25" s="73" t="str">
        <x:f>IF(A25="","",SUMIFS('Recipe Lines'!$N$5:$N$504,'Recipe Lines'!$A$5:$A$504,A25,'Recipe Lines'!$H$5:$H$504,"No"))</x:f>
      </x:c>
      <x:c r="P25" s="73" t="str">
        <x:f>IF(A25="","",N25*(1-M25)+O25)</x:f>
      </x:c>
      <x:c r="Q25" s="46"/>
      <x:c r="R25" s="72"/>
      <x:c r="S25" s="73" t="str">
        <x:f>IF(A25="","",R25*0.1125*Q25)</x:f>
      </x:c>
      <x:c r="T25" s="72"/>
      <x:c r="U25" s="73" t="str">
        <x:f>IF(A25="","",IF(H25&gt;0,H25,IF(F25="Sell Order",SUMIFS('Market Data'!$E$5:$E$504,'Market Data'!$A$5:$A$504,E25,'Market Data'!$B$5:$B$504,B25,'Market Data'!$D$5:$D$504,G25),SUMIFS('Market Data'!$F$5:$F$504,'Market Data'!$A$5:$A$504,E25,'Market Data'!$B$5:$B$504,B25,'Market Data'!$D$5:$D$504,G25))))</x:f>
      </x:c>
      <x:c r="V25" s="73" t="str">
        <x:f>IF(A25="","",U25*D25)</x:f>
      </x:c>
      <x:c r="W25" s="73" t="str">
        <x:f>IF(A25="","",V25*(Settings!$B$19+IF(F25="Sell Order",Settings!$B$13,0)))</x:f>
      </x:c>
      <x:c r="X25" s="73" t="str">
        <x:f>IF(A25="","",V25-W25+T25)</x:f>
      </x:c>
      <x:c r="Y25" s="73" t="str">
        <x:f>IF(A25="","",X25-P25-S25)</x:f>
      </x:c>
      <x:c r="Z25" s="50" t="str">
        <x:f>IF(A25="","",IF(V25=0,0,Y25/V25))</x:f>
      </x:c>
      <x:c r="AA25" s="72"/>
      <x:c r="AB25" s="68"/>
      <x:c r="AC25" s="73" t="str">
        <x:f>IF(A25="","",IF(K25="Yes",AA25*POWER(0.5,AB25/10000),0))</x:f>
      </x:c>
      <x:c r="AD25" s="73" t="str">
        <x:f>IF(A25="","",IF(K25="Yes",N25*((1-1/(1+I25+J25+Settings!$B$11))-(1-1/(1+I25+J25))),0))</x:f>
      </x:c>
      <x:c r="AE25" s="73" t="str">
        <x:f>IF(A25="","",IF(AC25&gt;0,AD25/AC25,0))</x:f>
      </x:c>
      <x:c r="AF25" s="73" t="str">
        <x:f>IF(A25="","",IF(D25=0,0,MAX(0,(P25+S25-T25)/(D25*(1-(Settings!$B$19+IF(F25="Sell Order",Settings!$B$13,0)))))))</x:f>
      </x:c>
      <x:c r="AG25" s="50" t="str">
        <x:f>IF(A25="","",IF(P25+S25=0,0,Y25/(P25+S25)))</x:f>
      </x:c>
      <x:c r="AH25" s="48" t="str">
        <x:f>IF(A25="","",IF(Y25&gt;0,"PROFIT",IF(Y25&lt;0,"LOSS","BREAK-EVEN")))</x:f>
      </x:c>
    </x:row>
    <x:row r="26">
      <x:c r="A26" s="42"/>
      <x:c r="B26" s="42"/>
      <x:c r="C26" s="42"/>
      <x:c r="D26" s="42"/>
      <x:c r="E26" s="42"/>
      <x:c r="F26" s="42"/>
      <x:c r="G26" s="42"/>
      <x:c r="H26" s="72"/>
      <x:c r="I26" s="76"/>
      <x:c r="J26" s="76"/>
      <x:c r="K26" s="42"/>
      <x:c r="L26" s="50" t="str">
        <x:f>IF(A26="","",I26+J26+IF(K26="Yes",Settings!$B$11,0))</x:f>
      </x:c>
      <x:c r="M26" s="50" t="str">
        <x:f>IF(A26="","",1-1/(1+L26))</x:f>
      </x:c>
      <x:c r="N26" s="73" t="str">
        <x:f>IF(A26="","",SUMIFS('Recipe Lines'!$N$5:$N$504,'Recipe Lines'!$A$5:$A$504,A26,'Recipe Lines'!$H$5:$H$504,"Yes"))</x:f>
      </x:c>
      <x:c r="O26" s="73" t="str">
        <x:f>IF(A26="","",SUMIFS('Recipe Lines'!$N$5:$N$504,'Recipe Lines'!$A$5:$A$504,A26,'Recipe Lines'!$H$5:$H$504,"No"))</x:f>
      </x:c>
      <x:c r="P26" s="73" t="str">
        <x:f>IF(A26="","",N26*(1-M26)+O26)</x:f>
      </x:c>
      <x:c r="Q26" s="46"/>
      <x:c r="R26" s="72"/>
      <x:c r="S26" s="73" t="str">
        <x:f>IF(A26="","",R26*0.1125*Q26)</x:f>
      </x:c>
      <x:c r="T26" s="72"/>
      <x:c r="U26" s="73" t="str">
        <x:f>IF(A26="","",IF(H26&gt;0,H26,IF(F26="Sell Order",SUMIFS('Market Data'!$E$5:$E$504,'Market Data'!$A$5:$A$504,E26,'Market Data'!$B$5:$B$504,B26,'Market Data'!$D$5:$D$504,G26),SUMIFS('Market Data'!$F$5:$F$504,'Market Data'!$A$5:$A$504,E26,'Market Data'!$B$5:$B$504,B26,'Market Data'!$D$5:$D$504,G26))))</x:f>
      </x:c>
      <x:c r="V26" s="73" t="str">
        <x:f>IF(A26="","",U26*D26)</x:f>
      </x:c>
      <x:c r="W26" s="73" t="str">
        <x:f>IF(A26="","",V26*(Settings!$B$19+IF(F26="Sell Order",Settings!$B$13,0)))</x:f>
      </x:c>
      <x:c r="X26" s="73" t="str">
        <x:f>IF(A26="","",V26-W26+T26)</x:f>
      </x:c>
      <x:c r="Y26" s="73" t="str">
        <x:f>IF(A26="","",X26-P26-S26)</x:f>
      </x:c>
      <x:c r="Z26" s="50" t="str">
        <x:f>IF(A26="","",IF(V26=0,0,Y26/V26))</x:f>
      </x:c>
      <x:c r="AA26" s="72"/>
      <x:c r="AB26" s="68"/>
      <x:c r="AC26" s="73" t="str">
        <x:f>IF(A26="","",IF(K26="Yes",AA26*POWER(0.5,AB26/10000),0))</x:f>
      </x:c>
      <x:c r="AD26" s="73" t="str">
        <x:f>IF(A26="","",IF(K26="Yes",N26*((1-1/(1+I26+J26+Settings!$B$11))-(1-1/(1+I26+J26))),0))</x:f>
      </x:c>
      <x:c r="AE26" s="73" t="str">
        <x:f>IF(A26="","",IF(AC26&gt;0,AD26/AC26,0))</x:f>
      </x:c>
      <x:c r="AF26" s="73" t="str">
        <x:f>IF(A26="","",IF(D26=0,0,MAX(0,(P26+S26-T26)/(D26*(1-(Settings!$B$19+IF(F26="Sell Order",Settings!$B$13,0)))))))</x:f>
      </x:c>
      <x:c r="AG26" s="50" t="str">
        <x:f>IF(A26="","",IF(P26+S26=0,0,Y26/(P26+S26)))</x:f>
      </x:c>
      <x:c r="AH26" s="48" t="str">
        <x:f>IF(A26="","",IF(Y26&gt;0,"PROFIT",IF(Y26&lt;0,"LOSS","BREAK-EVEN")))</x:f>
      </x:c>
    </x:row>
    <x:row r="27">
      <x:c r="A27" s="42"/>
      <x:c r="B27" s="42"/>
      <x:c r="C27" s="42"/>
      <x:c r="D27" s="42"/>
      <x:c r="E27" s="42"/>
      <x:c r="F27" s="42"/>
      <x:c r="G27" s="42"/>
      <x:c r="H27" s="72"/>
      <x:c r="I27" s="76"/>
      <x:c r="J27" s="76"/>
      <x:c r="K27" s="42"/>
      <x:c r="L27" s="50" t="str">
        <x:f>IF(A27="","",I27+J27+IF(K27="Yes",Settings!$B$11,0))</x:f>
      </x:c>
      <x:c r="M27" s="50" t="str">
        <x:f>IF(A27="","",1-1/(1+L27))</x:f>
      </x:c>
      <x:c r="N27" s="73" t="str">
        <x:f>IF(A27="","",SUMIFS('Recipe Lines'!$N$5:$N$504,'Recipe Lines'!$A$5:$A$504,A27,'Recipe Lines'!$H$5:$H$504,"Yes"))</x:f>
      </x:c>
      <x:c r="O27" s="73" t="str">
        <x:f>IF(A27="","",SUMIFS('Recipe Lines'!$N$5:$N$504,'Recipe Lines'!$A$5:$A$504,A27,'Recipe Lines'!$H$5:$H$504,"No"))</x:f>
      </x:c>
      <x:c r="P27" s="73" t="str">
        <x:f>IF(A27="","",N27*(1-M27)+O27)</x:f>
      </x:c>
      <x:c r="Q27" s="46"/>
      <x:c r="R27" s="72"/>
      <x:c r="S27" s="73" t="str">
        <x:f>IF(A27="","",R27*0.1125*Q27)</x:f>
      </x:c>
      <x:c r="T27" s="72"/>
      <x:c r="U27" s="73" t="str">
        <x:f>IF(A27="","",IF(H27&gt;0,H27,IF(F27="Sell Order",SUMIFS('Market Data'!$E$5:$E$504,'Market Data'!$A$5:$A$504,E27,'Market Data'!$B$5:$B$504,B27,'Market Data'!$D$5:$D$504,G27),SUMIFS('Market Data'!$F$5:$F$504,'Market Data'!$A$5:$A$504,E27,'Market Data'!$B$5:$B$504,B27,'Market Data'!$D$5:$D$504,G27))))</x:f>
      </x:c>
      <x:c r="V27" s="73" t="str">
        <x:f>IF(A27="","",U27*D27)</x:f>
      </x:c>
      <x:c r="W27" s="73" t="str">
        <x:f>IF(A27="","",V27*(Settings!$B$19+IF(F27="Sell Order",Settings!$B$13,0)))</x:f>
      </x:c>
      <x:c r="X27" s="73" t="str">
        <x:f>IF(A27="","",V27-W27+T27)</x:f>
      </x:c>
      <x:c r="Y27" s="73" t="str">
        <x:f>IF(A27="","",X27-P27-S27)</x:f>
      </x:c>
      <x:c r="Z27" s="50" t="str">
        <x:f>IF(A27="","",IF(V27=0,0,Y27/V27))</x:f>
      </x:c>
      <x:c r="AA27" s="72"/>
      <x:c r="AB27" s="68"/>
      <x:c r="AC27" s="73" t="str">
        <x:f>IF(A27="","",IF(K27="Yes",AA27*POWER(0.5,AB27/10000),0))</x:f>
      </x:c>
      <x:c r="AD27" s="73" t="str">
        <x:f>IF(A27="","",IF(K27="Yes",N27*((1-1/(1+I27+J27+Settings!$B$11))-(1-1/(1+I27+J27))),0))</x:f>
      </x:c>
      <x:c r="AE27" s="73" t="str">
        <x:f>IF(A27="","",IF(AC27&gt;0,AD27/AC27,0))</x:f>
      </x:c>
      <x:c r="AF27" s="73" t="str">
        <x:f>IF(A27="","",IF(D27=0,0,MAX(0,(P27+S27-T27)/(D27*(1-(Settings!$B$19+IF(F27="Sell Order",Settings!$B$13,0)))))))</x:f>
      </x:c>
      <x:c r="AG27" s="50" t="str">
        <x:f>IF(A27="","",IF(P27+S27=0,0,Y27/(P27+S27)))</x:f>
      </x:c>
      <x:c r="AH27" s="48" t="str">
        <x:f>IF(A27="","",IF(Y27&gt;0,"PROFIT",IF(Y27&lt;0,"LOSS","BREAK-EVEN")))</x:f>
      </x:c>
    </x:row>
    <x:row r="28">
      <x:c r="A28" s="42"/>
      <x:c r="B28" s="42"/>
      <x:c r="C28" s="42"/>
      <x:c r="D28" s="42"/>
      <x:c r="E28" s="42"/>
      <x:c r="F28" s="42"/>
      <x:c r="G28" s="42"/>
      <x:c r="H28" s="72"/>
      <x:c r="I28" s="76"/>
      <x:c r="J28" s="76"/>
      <x:c r="K28" s="42"/>
      <x:c r="L28" s="50" t="str">
        <x:f>IF(A28="","",I28+J28+IF(K28="Yes",Settings!$B$11,0))</x:f>
      </x:c>
      <x:c r="M28" s="50" t="str">
        <x:f>IF(A28="","",1-1/(1+L28))</x:f>
      </x:c>
      <x:c r="N28" s="73" t="str">
        <x:f>IF(A28="","",SUMIFS('Recipe Lines'!$N$5:$N$504,'Recipe Lines'!$A$5:$A$504,A28,'Recipe Lines'!$H$5:$H$504,"Yes"))</x:f>
      </x:c>
      <x:c r="O28" s="73" t="str">
        <x:f>IF(A28="","",SUMIFS('Recipe Lines'!$N$5:$N$504,'Recipe Lines'!$A$5:$A$504,A28,'Recipe Lines'!$H$5:$H$504,"No"))</x:f>
      </x:c>
      <x:c r="P28" s="73" t="str">
        <x:f>IF(A28="","",N28*(1-M28)+O28)</x:f>
      </x:c>
      <x:c r="Q28" s="46"/>
      <x:c r="R28" s="72"/>
      <x:c r="S28" s="73" t="str">
        <x:f>IF(A28="","",R28*0.1125*Q28)</x:f>
      </x:c>
      <x:c r="T28" s="72"/>
      <x:c r="U28" s="73" t="str">
        <x:f>IF(A28="","",IF(H28&gt;0,H28,IF(F28="Sell Order",SUMIFS('Market Data'!$E$5:$E$504,'Market Data'!$A$5:$A$504,E28,'Market Data'!$B$5:$B$504,B28,'Market Data'!$D$5:$D$504,G28),SUMIFS('Market Data'!$F$5:$F$504,'Market Data'!$A$5:$A$504,E28,'Market Data'!$B$5:$B$504,B28,'Market Data'!$D$5:$D$504,G28))))</x:f>
      </x:c>
      <x:c r="V28" s="73" t="str">
        <x:f>IF(A28="","",U28*D28)</x:f>
      </x:c>
      <x:c r="W28" s="73" t="str">
        <x:f>IF(A28="","",V28*(Settings!$B$19+IF(F28="Sell Order",Settings!$B$13,0)))</x:f>
      </x:c>
      <x:c r="X28" s="73" t="str">
        <x:f>IF(A28="","",V28-W28+T28)</x:f>
      </x:c>
      <x:c r="Y28" s="73" t="str">
        <x:f>IF(A28="","",X28-P28-S28)</x:f>
      </x:c>
      <x:c r="Z28" s="50" t="str">
        <x:f>IF(A28="","",IF(V28=0,0,Y28/V28))</x:f>
      </x:c>
      <x:c r="AA28" s="72"/>
      <x:c r="AB28" s="68"/>
      <x:c r="AC28" s="73" t="str">
        <x:f>IF(A28="","",IF(K28="Yes",AA28*POWER(0.5,AB28/10000),0))</x:f>
      </x:c>
      <x:c r="AD28" s="73" t="str">
        <x:f>IF(A28="","",IF(K28="Yes",N28*((1-1/(1+I28+J28+Settings!$B$11))-(1-1/(1+I28+J28))),0))</x:f>
      </x:c>
      <x:c r="AE28" s="73" t="str">
        <x:f>IF(A28="","",IF(AC28&gt;0,AD28/AC28,0))</x:f>
      </x:c>
      <x:c r="AF28" s="73" t="str">
        <x:f>IF(A28="","",IF(D28=0,0,MAX(0,(P28+S28-T28)/(D28*(1-(Settings!$B$19+IF(F28="Sell Order",Settings!$B$13,0)))))))</x:f>
      </x:c>
      <x:c r="AG28" s="50" t="str">
        <x:f>IF(A28="","",IF(P28+S28=0,0,Y28/(P28+S28)))</x:f>
      </x:c>
      <x:c r="AH28" s="48" t="str">
        <x:f>IF(A28="","",IF(Y28&gt;0,"PROFIT",IF(Y28&lt;0,"LOSS","BREAK-EVEN")))</x:f>
      </x:c>
    </x:row>
    <x:row r="29">
      <x:c r="A29" s="42"/>
      <x:c r="B29" s="42"/>
      <x:c r="C29" s="42"/>
      <x:c r="D29" s="42"/>
      <x:c r="E29" s="42"/>
      <x:c r="F29" s="42"/>
      <x:c r="G29" s="42"/>
      <x:c r="H29" s="72"/>
      <x:c r="I29" s="76"/>
      <x:c r="J29" s="76"/>
      <x:c r="K29" s="42"/>
      <x:c r="L29" s="50" t="str">
        <x:f>IF(A29="","",I29+J29+IF(K29="Yes",Settings!$B$11,0))</x:f>
      </x:c>
      <x:c r="M29" s="50" t="str">
        <x:f>IF(A29="","",1-1/(1+L29))</x:f>
      </x:c>
      <x:c r="N29" s="73" t="str">
        <x:f>IF(A29="","",SUMIFS('Recipe Lines'!$N$5:$N$504,'Recipe Lines'!$A$5:$A$504,A29,'Recipe Lines'!$H$5:$H$504,"Yes"))</x:f>
      </x:c>
      <x:c r="O29" s="73" t="str">
        <x:f>IF(A29="","",SUMIFS('Recipe Lines'!$N$5:$N$504,'Recipe Lines'!$A$5:$A$504,A29,'Recipe Lines'!$H$5:$H$504,"No"))</x:f>
      </x:c>
      <x:c r="P29" s="73" t="str">
        <x:f>IF(A29="","",N29*(1-M29)+O29)</x:f>
      </x:c>
      <x:c r="Q29" s="46"/>
      <x:c r="R29" s="72"/>
      <x:c r="S29" s="73" t="str">
        <x:f>IF(A29="","",R29*0.1125*Q29)</x:f>
      </x:c>
      <x:c r="T29" s="72"/>
      <x:c r="U29" s="73" t="str">
        <x:f>IF(A29="","",IF(H29&gt;0,H29,IF(F29="Sell Order",SUMIFS('Market Data'!$E$5:$E$504,'Market Data'!$A$5:$A$504,E29,'Market Data'!$B$5:$B$504,B29,'Market Data'!$D$5:$D$504,G29),SUMIFS('Market Data'!$F$5:$F$504,'Market Data'!$A$5:$A$504,E29,'Market Data'!$B$5:$B$504,B29,'Market Data'!$D$5:$D$504,G29))))</x:f>
      </x:c>
      <x:c r="V29" s="73" t="str">
        <x:f>IF(A29="","",U29*D29)</x:f>
      </x:c>
      <x:c r="W29" s="73" t="str">
        <x:f>IF(A29="","",V29*(Settings!$B$19+IF(F29="Sell Order",Settings!$B$13,0)))</x:f>
      </x:c>
      <x:c r="X29" s="73" t="str">
        <x:f>IF(A29="","",V29-W29+T29)</x:f>
      </x:c>
      <x:c r="Y29" s="73" t="str">
        <x:f>IF(A29="","",X29-P29-S29)</x:f>
      </x:c>
      <x:c r="Z29" s="50" t="str">
        <x:f>IF(A29="","",IF(V29=0,0,Y29/V29))</x:f>
      </x:c>
      <x:c r="AA29" s="72"/>
      <x:c r="AB29" s="68"/>
      <x:c r="AC29" s="73" t="str">
        <x:f>IF(A29="","",IF(K29="Yes",AA29*POWER(0.5,AB29/10000),0))</x:f>
      </x:c>
      <x:c r="AD29" s="73" t="str">
        <x:f>IF(A29="","",IF(K29="Yes",N29*((1-1/(1+I29+J29+Settings!$B$11))-(1-1/(1+I29+J29))),0))</x:f>
      </x:c>
      <x:c r="AE29" s="73" t="str">
        <x:f>IF(A29="","",IF(AC29&gt;0,AD29/AC29,0))</x:f>
      </x:c>
      <x:c r="AF29" s="73" t="str">
        <x:f>IF(A29="","",IF(D29=0,0,MAX(0,(P29+S29-T29)/(D29*(1-(Settings!$B$19+IF(F29="Sell Order",Settings!$B$13,0)))))))</x:f>
      </x:c>
      <x:c r="AG29" s="50" t="str">
        <x:f>IF(A29="","",IF(P29+S29=0,0,Y29/(P29+S29)))</x:f>
      </x:c>
      <x:c r="AH29" s="48" t="str">
        <x:f>IF(A29="","",IF(Y29&gt;0,"PROFIT",IF(Y29&lt;0,"LOSS","BREAK-EVEN")))</x:f>
      </x:c>
    </x:row>
    <x:row r="30">
      <x:c r="A30" s="42"/>
      <x:c r="B30" s="42"/>
      <x:c r="C30" s="42"/>
      <x:c r="D30" s="42"/>
      <x:c r="E30" s="42"/>
      <x:c r="F30" s="42"/>
      <x:c r="G30" s="42"/>
      <x:c r="H30" s="72"/>
      <x:c r="I30" s="76"/>
      <x:c r="J30" s="76"/>
      <x:c r="K30" s="42"/>
      <x:c r="L30" s="50" t="str">
        <x:f>IF(A30="","",I30+J30+IF(K30="Yes",Settings!$B$11,0))</x:f>
      </x:c>
      <x:c r="M30" s="50" t="str">
        <x:f>IF(A30="","",1-1/(1+L30))</x:f>
      </x:c>
      <x:c r="N30" s="73" t="str">
        <x:f>IF(A30="","",SUMIFS('Recipe Lines'!$N$5:$N$504,'Recipe Lines'!$A$5:$A$504,A30,'Recipe Lines'!$H$5:$H$504,"Yes"))</x:f>
      </x:c>
      <x:c r="O30" s="73" t="str">
        <x:f>IF(A30="","",SUMIFS('Recipe Lines'!$N$5:$N$504,'Recipe Lines'!$A$5:$A$504,A30,'Recipe Lines'!$H$5:$H$504,"No"))</x:f>
      </x:c>
      <x:c r="P30" s="73" t="str">
        <x:f>IF(A30="","",N30*(1-M30)+O30)</x:f>
      </x:c>
      <x:c r="Q30" s="46"/>
      <x:c r="R30" s="72"/>
      <x:c r="S30" s="73" t="str">
        <x:f>IF(A30="","",R30*0.1125*Q30)</x:f>
      </x:c>
      <x:c r="T30" s="72"/>
      <x:c r="U30" s="73" t="str">
        <x:f>IF(A30="","",IF(H30&gt;0,H30,IF(F30="Sell Order",SUMIFS('Market Data'!$E$5:$E$504,'Market Data'!$A$5:$A$504,E30,'Market Data'!$B$5:$B$504,B30,'Market Data'!$D$5:$D$504,G30),SUMIFS('Market Data'!$F$5:$F$504,'Market Data'!$A$5:$A$504,E30,'Market Data'!$B$5:$B$504,B30,'Market Data'!$D$5:$D$504,G30))))</x:f>
      </x:c>
      <x:c r="V30" s="73" t="str">
        <x:f>IF(A30="","",U30*D30)</x:f>
      </x:c>
      <x:c r="W30" s="73" t="str">
        <x:f>IF(A30="","",V30*(Settings!$B$19+IF(F30="Sell Order",Settings!$B$13,0)))</x:f>
      </x:c>
      <x:c r="X30" s="73" t="str">
        <x:f>IF(A30="","",V30-W30+T30)</x:f>
      </x:c>
      <x:c r="Y30" s="73" t="str">
        <x:f>IF(A30="","",X30-P30-S30)</x:f>
      </x:c>
      <x:c r="Z30" s="50" t="str">
        <x:f>IF(A30="","",IF(V30=0,0,Y30/V30))</x:f>
      </x:c>
      <x:c r="AA30" s="72"/>
      <x:c r="AB30" s="68"/>
      <x:c r="AC30" s="73" t="str">
        <x:f>IF(A30="","",IF(K30="Yes",AA30*POWER(0.5,AB30/10000),0))</x:f>
      </x:c>
      <x:c r="AD30" s="73" t="str">
        <x:f>IF(A30="","",IF(K30="Yes",N30*((1-1/(1+I30+J30+Settings!$B$11))-(1-1/(1+I30+J30))),0))</x:f>
      </x:c>
      <x:c r="AE30" s="73" t="str">
        <x:f>IF(A30="","",IF(AC30&gt;0,AD30/AC30,0))</x:f>
      </x:c>
      <x:c r="AF30" s="73" t="str">
        <x:f>IF(A30="","",IF(D30=0,0,MAX(0,(P30+S30-T30)/(D30*(1-(Settings!$B$19+IF(F30="Sell Order",Settings!$B$13,0)))))))</x:f>
      </x:c>
      <x:c r="AG30" s="50" t="str">
        <x:f>IF(A30="","",IF(P30+S30=0,0,Y30/(P30+S30)))</x:f>
      </x:c>
      <x:c r="AH30" s="48" t="str">
        <x:f>IF(A30="","",IF(Y30&gt;0,"PROFIT",IF(Y30&lt;0,"LOSS","BREAK-EVEN")))</x:f>
      </x:c>
    </x:row>
    <x:row r="31">
      <x:c r="A31" s="42"/>
      <x:c r="B31" s="42"/>
      <x:c r="C31" s="42"/>
      <x:c r="D31" s="42"/>
      <x:c r="E31" s="42"/>
      <x:c r="F31" s="42"/>
      <x:c r="G31" s="42"/>
      <x:c r="H31" s="72"/>
      <x:c r="I31" s="76"/>
      <x:c r="J31" s="76"/>
      <x:c r="K31" s="42"/>
      <x:c r="L31" s="50" t="str">
        <x:f>IF(A31="","",I31+J31+IF(K31="Yes",Settings!$B$11,0))</x:f>
      </x:c>
      <x:c r="M31" s="50" t="str">
        <x:f>IF(A31="","",1-1/(1+L31))</x:f>
      </x:c>
      <x:c r="N31" s="73" t="str">
        <x:f>IF(A31="","",SUMIFS('Recipe Lines'!$N$5:$N$504,'Recipe Lines'!$A$5:$A$504,A31,'Recipe Lines'!$H$5:$H$504,"Yes"))</x:f>
      </x:c>
      <x:c r="O31" s="73" t="str">
        <x:f>IF(A31="","",SUMIFS('Recipe Lines'!$N$5:$N$504,'Recipe Lines'!$A$5:$A$504,A31,'Recipe Lines'!$H$5:$H$504,"No"))</x:f>
      </x:c>
      <x:c r="P31" s="73" t="str">
        <x:f>IF(A31="","",N31*(1-M31)+O31)</x:f>
      </x:c>
      <x:c r="Q31" s="46"/>
      <x:c r="R31" s="72"/>
      <x:c r="S31" s="73" t="str">
        <x:f>IF(A31="","",R31*0.1125*Q31)</x:f>
      </x:c>
      <x:c r="T31" s="72"/>
      <x:c r="U31" s="73" t="str">
        <x:f>IF(A31="","",IF(H31&gt;0,H31,IF(F31="Sell Order",SUMIFS('Market Data'!$E$5:$E$504,'Market Data'!$A$5:$A$504,E31,'Market Data'!$B$5:$B$504,B31,'Market Data'!$D$5:$D$504,G31),SUMIFS('Market Data'!$F$5:$F$504,'Market Data'!$A$5:$A$504,E31,'Market Data'!$B$5:$B$504,B31,'Market Data'!$D$5:$D$504,G31))))</x:f>
      </x:c>
      <x:c r="V31" s="73" t="str">
        <x:f>IF(A31="","",U31*D31)</x:f>
      </x:c>
      <x:c r="W31" s="73" t="str">
        <x:f>IF(A31="","",V31*(Settings!$B$19+IF(F31="Sell Order",Settings!$B$13,0)))</x:f>
      </x:c>
      <x:c r="X31" s="73" t="str">
        <x:f>IF(A31="","",V31-W31+T31)</x:f>
      </x:c>
      <x:c r="Y31" s="73" t="str">
        <x:f>IF(A31="","",X31-P31-S31)</x:f>
      </x:c>
      <x:c r="Z31" s="50" t="str">
        <x:f>IF(A31="","",IF(V31=0,0,Y31/V31))</x:f>
      </x:c>
      <x:c r="AA31" s="72"/>
      <x:c r="AB31" s="68"/>
      <x:c r="AC31" s="73" t="str">
        <x:f>IF(A31="","",IF(K31="Yes",AA31*POWER(0.5,AB31/10000),0))</x:f>
      </x:c>
      <x:c r="AD31" s="73" t="str">
        <x:f>IF(A31="","",IF(K31="Yes",N31*((1-1/(1+I31+J31+Settings!$B$11))-(1-1/(1+I31+J31))),0))</x:f>
      </x:c>
      <x:c r="AE31" s="73" t="str">
        <x:f>IF(A31="","",IF(AC31&gt;0,AD31/AC31,0))</x:f>
      </x:c>
      <x:c r="AF31" s="73" t="str">
        <x:f>IF(A31="","",IF(D31=0,0,MAX(0,(P31+S31-T31)/(D31*(1-(Settings!$B$19+IF(F31="Sell Order",Settings!$B$13,0)))))))</x:f>
      </x:c>
      <x:c r="AG31" s="50" t="str">
        <x:f>IF(A31="","",IF(P31+S31=0,0,Y31/(P31+S31)))</x:f>
      </x:c>
      <x:c r="AH31" s="48" t="str">
        <x:f>IF(A31="","",IF(Y31&gt;0,"PROFIT",IF(Y31&lt;0,"LOSS","BREAK-EVEN")))</x:f>
      </x:c>
    </x:row>
    <x:row r="32">
      <x:c r="A32" s="42"/>
      <x:c r="B32" s="42"/>
      <x:c r="C32" s="42"/>
      <x:c r="D32" s="42"/>
      <x:c r="E32" s="42"/>
      <x:c r="F32" s="42"/>
      <x:c r="G32" s="42"/>
      <x:c r="H32" s="72"/>
      <x:c r="I32" s="76"/>
      <x:c r="J32" s="76"/>
      <x:c r="K32" s="42"/>
      <x:c r="L32" s="50" t="str">
        <x:f>IF(A32="","",I32+J32+IF(K32="Yes",Settings!$B$11,0))</x:f>
      </x:c>
      <x:c r="M32" s="50" t="str">
        <x:f>IF(A32="","",1-1/(1+L32))</x:f>
      </x:c>
      <x:c r="N32" s="73" t="str">
        <x:f>IF(A32="","",SUMIFS('Recipe Lines'!$N$5:$N$504,'Recipe Lines'!$A$5:$A$504,A32,'Recipe Lines'!$H$5:$H$504,"Yes"))</x:f>
      </x:c>
      <x:c r="O32" s="73" t="str">
        <x:f>IF(A32="","",SUMIFS('Recipe Lines'!$N$5:$N$504,'Recipe Lines'!$A$5:$A$504,A32,'Recipe Lines'!$H$5:$H$504,"No"))</x:f>
      </x:c>
      <x:c r="P32" s="73" t="str">
        <x:f>IF(A32="","",N32*(1-M32)+O32)</x:f>
      </x:c>
      <x:c r="Q32" s="46"/>
      <x:c r="R32" s="72"/>
      <x:c r="S32" s="73" t="str">
        <x:f>IF(A32="","",R32*0.1125*Q32)</x:f>
      </x:c>
      <x:c r="T32" s="72"/>
      <x:c r="U32" s="73" t="str">
        <x:f>IF(A32="","",IF(H32&gt;0,H32,IF(F32="Sell Order",SUMIFS('Market Data'!$E$5:$E$504,'Market Data'!$A$5:$A$504,E32,'Market Data'!$B$5:$B$504,B32,'Market Data'!$D$5:$D$504,G32),SUMIFS('Market Data'!$F$5:$F$504,'Market Data'!$A$5:$A$504,E32,'Market Data'!$B$5:$B$504,B32,'Market Data'!$D$5:$D$504,G32))))</x:f>
      </x:c>
      <x:c r="V32" s="73" t="str">
        <x:f>IF(A32="","",U32*D32)</x:f>
      </x:c>
      <x:c r="W32" s="73" t="str">
        <x:f>IF(A32="","",V32*(Settings!$B$19+IF(F32="Sell Order",Settings!$B$13,0)))</x:f>
      </x:c>
      <x:c r="X32" s="73" t="str">
        <x:f>IF(A32="","",V32-W32+T32)</x:f>
      </x:c>
      <x:c r="Y32" s="73" t="str">
        <x:f>IF(A32="","",X32-P32-S32)</x:f>
      </x:c>
      <x:c r="Z32" s="50" t="str">
        <x:f>IF(A32="","",IF(V32=0,0,Y32/V32))</x:f>
      </x:c>
      <x:c r="AA32" s="72"/>
      <x:c r="AB32" s="68"/>
      <x:c r="AC32" s="73" t="str">
        <x:f>IF(A32="","",IF(K32="Yes",AA32*POWER(0.5,AB32/10000),0))</x:f>
      </x:c>
      <x:c r="AD32" s="73" t="str">
        <x:f>IF(A32="","",IF(K32="Yes",N32*((1-1/(1+I32+J32+Settings!$B$11))-(1-1/(1+I32+J32))),0))</x:f>
      </x:c>
      <x:c r="AE32" s="73" t="str">
        <x:f>IF(A32="","",IF(AC32&gt;0,AD32/AC32,0))</x:f>
      </x:c>
      <x:c r="AF32" s="73" t="str">
        <x:f>IF(A32="","",IF(D32=0,0,MAX(0,(P32+S32-T32)/(D32*(1-(Settings!$B$19+IF(F32="Sell Order",Settings!$B$13,0)))))))</x:f>
      </x:c>
      <x:c r="AG32" s="50" t="str">
        <x:f>IF(A32="","",IF(P32+S32=0,0,Y32/(P32+S32)))</x:f>
      </x:c>
      <x:c r="AH32" s="48" t="str">
        <x:f>IF(A32="","",IF(Y32&gt;0,"PROFIT",IF(Y32&lt;0,"LOSS","BREAK-EVEN")))</x:f>
      </x:c>
    </x:row>
    <x:row r="33">
      <x:c r="A33" s="42"/>
      <x:c r="B33" s="42"/>
      <x:c r="C33" s="42"/>
      <x:c r="D33" s="42"/>
      <x:c r="E33" s="42"/>
      <x:c r="F33" s="42"/>
      <x:c r="G33" s="42"/>
      <x:c r="H33" s="72"/>
      <x:c r="I33" s="76"/>
      <x:c r="J33" s="76"/>
      <x:c r="K33" s="42"/>
      <x:c r="L33" s="50" t="str">
        <x:f>IF(A33="","",I33+J33+IF(K33="Yes",Settings!$B$11,0))</x:f>
      </x:c>
      <x:c r="M33" s="50" t="str">
        <x:f>IF(A33="","",1-1/(1+L33))</x:f>
      </x:c>
      <x:c r="N33" s="73" t="str">
        <x:f>IF(A33="","",SUMIFS('Recipe Lines'!$N$5:$N$504,'Recipe Lines'!$A$5:$A$504,A33,'Recipe Lines'!$H$5:$H$504,"Yes"))</x:f>
      </x:c>
      <x:c r="O33" s="73" t="str">
        <x:f>IF(A33="","",SUMIFS('Recipe Lines'!$N$5:$N$504,'Recipe Lines'!$A$5:$A$504,A33,'Recipe Lines'!$H$5:$H$504,"No"))</x:f>
      </x:c>
      <x:c r="P33" s="73" t="str">
        <x:f>IF(A33="","",N33*(1-M33)+O33)</x:f>
      </x:c>
      <x:c r="Q33" s="46"/>
      <x:c r="R33" s="72"/>
      <x:c r="S33" s="73" t="str">
        <x:f>IF(A33="","",R33*0.1125*Q33)</x:f>
      </x:c>
      <x:c r="T33" s="72"/>
      <x:c r="U33" s="73" t="str">
        <x:f>IF(A33="","",IF(H33&gt;0,H33,IF(F33="Sell Order",SUMIFS('Market Data'!$E$5:$E$504,'Market Data'!$A$5:$A$504,E33,'Market Data'!$B$5:$B$504,B33,'Market Data'!$D$5:$D$504,G33),SUMIFS('Market Data'!$F$5:$F$504,'Market Data'!$A$5:$A$504,E33,'Market Data'!$B$5:$B$504,B33,'Market Data'!$D$5:$D$504,G33))))</x:f>
      </x:c>
      <x:c r="V33" s="73" t="str">
        <x:f>IF(A33="","",U33*D33)</x:f>
      </x:c>
      <x:c r="W33" s="73" t="str">
        <x:f>IF(A33="","",V33*(Settings!$B$19+IF(F33="Sell Order",Settings!$B$13,0)))</x:f>
      </x:c>
      <x:c r="X33" s="73" t="str">
        <x:f>IF(A33="","",V33-W33+T33)</x:f>
      </x:c>
      <x:c r="Y33" s="73" t="str">
        <x:f>IF(A33="","",X33-P33-S33)</x:f>
      </x:c>
      <x:c r="Z33" s="50" t="str">
        <x:f>IF(A33="","",IF(V33=0,0,Y33/V33))</x:f>
      </x:c>
      <x:c r="AA33" s="72"/>
      <x:c r="AB33" s="68"/>
      <x:c r="AC33" s="73" t="str">
        <x:f>IF(A33="","",IF(K33="Yes",AA33*POWER(0.5,AB33/10000),0))</x:f>
      </x:c>
      <x:c r="AD33" s="73" t="str">
        <x:f>IF(A33="","",IF(K33="Yes",N33*((1-1/(1+I33+J33+Settings!$B$11))-(1-1/(1+I33+J33))),0))</x:f>
      </x:c>
      <x:c r="AE33" s="73" t="str">
        <x:f>IF(A33="","",IF(AC33&gt;0,AD33/AC33,0))</x:f>
      </x:c>
      <x:c r="AF33" s="73" t="str">
        <x:f>IF(A33="","",IF(D33=0,0,MAX(0,(P33+S33-T33)/(D33*(1-(Settings!$B$19+IF(F33="Sell Order",Settings!$B$13,0)))))))</x:f>
      </x:c>
      <x:c r="AG33" s="50" t="str">
        <x:f>IF(A33="","",IF(P33+S33=0,0,Y33/(P33+S33)))</x:f>
      </x:c>
      <x:c r="AH33" s="48" t="str">
        <x:f>IF(A33="","",IF(Y33&gt;0,"PROFIT",IF(Y33&lt;0,"LOSS","BREAK-EVEN")))</x:f>
      </x:c>
    </x:row>
    <x:row r="34">
      <x:c r="A34" s="42"/>
      <x:c r="B34" s="42"/>
      <x:c r="C34" s="42"/>
      <x:c r="D34" s="42"/>
      <x:c r="E34" s="42"/>
      <x:c r="F34" s="42"/>
      <x:c r="G34" s="42"/>
      <x:c r="H34" s="72"/>
      <x:c r="I34" s="76"/>
      <x:c r="J34" s="76"/>
      <x:c r="K34" s="42"/>
      <x:c r="L34" s="50" t="str">
        <x:f>IF(A34="","",I34+J34+IF(K34="Yes",Settings!$B$11,0))</x:f>
      </x:c>
      <x:c r="M34" s="50" t="str">
        <x:f>IF(A34="","",1-1/(1+L34))</x:f>
      </x:c>
      <x:c r="N34" s="73" t="str">
        <x:f>IF(A34="","",SUMIFS('Recipe Lines'!$N$5:$N$504,'Recipe Lines'!$A$5:$A$504,A34,'Recipe Lines'!$H$5:$H$504,"Yes"))</x:f>
      </x:c>
      <x:c r="O34" s="73" t="str">
        <x:f>IF(A34="","",SUMIFS('Recipe Lines'!$N$5:$N$504,'Recipe Lines'!$A$5:$A$504,A34,'Recipe Lines'!$H$5:$H$504,"No"))</x:f>
      </x:c>
      <x:c r="P34" s="73" t="str">
        <x:f>IF(A34="","",N34*(1-M34)+O34)</x:f>
      </x:c>
      <x:c r="Q34" s="46"/>
      <x:c r="R34" s="72"/>
      <x:c r="S34" s="73" t="str">
        <x:f>IF(A34="","",R34*0.1125*Q34)</x:f>
      </x:c>
      <x:c r="T34" s="72"/>
      <x:c r="U34" s="73" t="str">
        <x:f>IF(A34="","",IF(H34&gt;0,H34,IF(F34="Sell Order",SUMIFS('Market Data'!$E$5:$E$504,'Market Data'!$A$5:$A$504,E34,'Market Data'!$B$5:$B$504,B34,'Market Data'!$D$5:$D$504,G34),SUMIFS('Market Data'!$F$5:$F$504,'Market Data'!$A$5:$A$504,E34,'Market Data'!$B$5:$B$504,B34,'Market Data'!$D$5:$D$504,G34))))</x:f>
      </x:c>
      <x:c r="V34" s="73" t="str">
        <x:f>IF(A34="","",U34*D34)</x:f>
      </x:c>
      <x:c r="W34" s="73" t="str">
        <x:f>IF(A34="","",V34*(Settings!$B$19+IF(F34="Sell Order",Settings!$B$13,0)))</x:f>
      </x:c>
      <x:c r="X34" s="73" t="str">
        <x:f>IF(A34="","",V34-W34+T34)</x:f>
      </x:c>
      <x:c r="Y34" s="73" t="str">
        <x:f>IF(A34="","",X34-P34-S34)</x:f>
      </x:c>
      <x:c r="Z34" s="50" t="str">
        <x:f>IF(A34="","",IF(V34=0,0,Y34/V34))</x:f>
      </x:c>
      <x:c r="AA34" s="72"/>
      <x:c r="AB34" s="68"/>
      <x:c r="AC34" s="73" t="str">
        <x:f>IF(A34="","",IF(K34="Yes",AA34*POWER(0.5,AB34/10000),0))</x:f>
      </x:c>
      <x:c r="AD34" s="73" t="str">
        <x:f>IF(A34="","",IF(K34="Yes",N34*((1-1/(1+I34+J34+Settings!$B$11))-(1-1/(1+I34+J34))),0))</x:f>
      </x:c>
      <x:c r="AE34" s="73" t="str">
        <x:f>IF(A34="","",IF(AC34&gt;0,AD34/AC34,0))</x:f>
      </x:c>
      <x:c r="AF34" s="73" t="str">
        <x:f>IF(A34="","",IF(D34=0,0,MAX(0,(P34+S34-T34)/(D34*(1-(Settings!$B$19+IF(F34="Sell Order",Settings!$B$13,0)))))))</x:f>
      </x:c>
      <x:c r="AG34" s="50" t="str">
        <x:f>IF(A34="","",IF(P34+S34=0,0,Y34/(P34+S34)))</x:f>
      </x:c>
      <x:c r="AH34" s="48" t="str">
        <x:f>IF(A34="","",IF(Y34&gt;0,"PROFIT",IF(Y34&lt;0,"LOSS","BREAK-EVEN")))</x:f>
      </x:c>
    </x:row>
    <x:row r="35">
      <x:c r="A35" s="42"/>
      <x:c r="B35" s="42"/>
      <x:c r="C35" s="42"/>
      <x:c r="D35" s="42"/>
      <x:c r="E35" s="42"/>
      <x:c r="F35" s="42"/>
      <x:c r="G35" s="42"/>
      <x:c r="H35" s="72"/>
      <x:c r="I35" s="76"/>
      <x:c r="J35" s="76"/>
      <x:c r="K35" s="42"/>
      <x:c r="L35" s="50" t="str">
        <x:f>IF(A35="","",I35+J35+IF(K35="Yes",Settings!$B$11,0))</x:f>
      </x:c>
      <x:c r="M35" s="50" t="str">
        <x:f>IF(A35="","",1-1/(1+L35))</x:f>
      </x:c>
      <x:c r="N35" s="73" t="str">
        <x:f>IF(A35="","",SUMIFS('Recipe Lines'!$N$5:$N$504,'Recipe Lines'!$A$5:$A$504,A35,'Recipe Lines'!$H$5:$H$504,"Yes"))</x:f>
      </x:c>
      <x:c r="O35" s="73" t="str">
        <x:f>IF(A35="","",SUMIFS('Recipe Lines'!$N$5:$N$504,'Recipe Lines'!$A$5:$A$504,A35,'Recipe Lines'!$H$5:$H$504,"No"))</x:f>
      </x:c>
      <x:c r="P35" s="73" t="str">
        <x:f>IF(A35="","",N35*(1-M35)+O35)</x:f>
      </x:c>
      <x:c r="Q35" s="46"/>
      <x:c r="R35" s="72"/>
      <x:c r="S35" s="73" t="str">
        <x:f>IF(A35="","",R35*0.1125*Q35)</x:f>
      </x:c>
      <x:c r="T35" s="72"/>
      <x:c r="U35" s="73" t="str">
        <x:f>IF(A35="","",IF(H35&gt;0,H35,IF(F35="Sell Order",SUMIFS('Market Data'!$E$5:$E$504,'Market Data'!$A$5:$A$504,E35,'Market Data'!$B$5:$B$504,B35,'Market Data'!$D$5:$D$504,G35),SUMIFS('Market Data'!$F$5:$F$504,'Market Data'!$A$5:$A$504,E35,'Market Data'!$B$5:$B$504,B35,'Market Data'!$D$5:$D$504,G35))))</x:f>
      </x:c>
      <x:c r="V35" s="73" t="str">
        <x:f>IF(A35="","",U35*D35)</x:f>
      </x:c>
      <x:c r="W35" s="73" t="str">
        <x:f>IF(A35="","",V35*(Settings!$B$19+IF(F35="Sell Order",Settings!$B$13,0)))</x:f>
      </x:c>
      <x:c r="X35" s="73" t="str">
        <x:f>IF(A35="","",V35-W35+T35)</x:f>
      </x:c>
      <x:c r="Y35" s="73" t="str">
        <x:f>IF(A35="","",X35-P35-S35)</x:f>
      </x:c>
      <x:c r="Z35" s="50" t="str">
        <x:f>IF(A35="","",IF(V35=0,0,Y35/V35))</x:f>
      </x:c>
      <x:c r="AA35" s="72"/>
      <x:c r="AB35" s="68"/>
      <x:c r="AC35" s="73" t="str">
        <x:f>IF(A35="","",IF(K35="Yes",AA35*POWER(0.5,AB35/10000),0))</x:f>
      </x:c>
      <x:c r="AD35" s="73" t="str">
        <x:f>IF(A35="","",IF(K35="Yes",N35*((1-1/(1+I35+J35+Settings!$B$11))-(1-1/(1+I35+J35))),0))</x:f>
      </x:c>
      <x:c r="AE35" s="73" t="str">
        <x:f>IF(A35="","",IF(AC35&gt;0,AD35/AC35,0))</x:f>
      </x:c>
      <x:c r="AF35" s="73" t="str">
        <x:f>IF(A35="","",IF(D35=0,0,MAX(0,(P35+S35-T35)/(D35*(1-(Settings!$B$19+IF(F35="Sell Order",Settings!$B$13,0)))))))</x:f>
      </x:c>
      <x:c r="AG35" s="50" t="str">
        <x:f>IF(A35="","",IF(P35+S35=0,0,Y35/(P35+S35)))</x:f>
      </x:c>
      <x:c r="AH35" s="48" t="str">
        <x:f>IF(A35="","",IF(Y35&gt;0,"PROFIT",IF(Y35&lt;0,"LOSS","BREAK-EVEN")))</x:f>
      </x:c>
    </x:row>
    <x:row r="36">
      <x:c r="A36" s="42"/>
      <x:c r="B36" s="42"/>
      <x:c r="C36" s="42"/>
      <x:c r="D36" s="42"/>
      <x:c r="E36" s="42"/>
      <x:c r="F36" s="42"/>
      <x:c r="G36" s="42"/>
      <x:c r="H36" s="72"/>
      <x:c r="I36" s="76"/>
      <x:c r="J36" s="76"/>
      <x:c r="K36" s="42"/>
      <x:c r="L36" s="50" t="str">
        <x:f>IF(A36="","",I36+J36+IF(K36="Yes",Settings!$B$11,0))</x:f>
      </x:c>
      <x:c r="M36" s="50" t="str">
        <x:f>IF(A36="","",1-1/(1+L36))</x:f>
      </x:c>
      <x:c r="N36" s="73" t="str">
        <x:f>IF(A36="","",SUMIFS('Recipe Lines'!$N$5:$N$504,'Recipe Lines'!$A$5:$A$504,A36,'Recipe Lines'!$H$5:$H$504,"Yes"))</x:f>
      </x:c>
      <x:c r="O36" s="73" t="str">
        <x:f>IF(A36="","",SUMIFS('Recipe Lines'!$N$5:$N$504,'Recipe Lines'!$A$5:$A$504,A36,'Recipe Lines'!$H$5:$H$504,"No"))</x:f>
      </x:c>
      <x:c r="P36" s="73" t="str">
        <x:f>IF(A36="","",N36*(1-M36)+O36)</x:f>
      </x:c>
      <x:c r="Q36" s="46"/>
      <x:c r="R36" s="72"/>
      <x:c r="S36" s="73" t="str">
        <x:f>IF(A36="","",R36*0.1125*Q36)</x:f>
      </x:c>
      <x:c r="T36" s="72"/>
      <x:c r="U36" s="73" t="str">
        <x:f>IF(A36="","",IF(H36&gt;0,H36,IF(F36="Sell Order",SUMIFS('Market Data'!$E$5:$E$504,'Market Data'!$A$5:$A$504,E36,'Market Data'!$B$5:$B$504,B36,'Market Data'!$D$5:$D$504,G36),SUMIFS('Market Data'!$F$5:$F$504,'Market Data'!$A$5:$A$504,E36,'Market Data'!$B$5:$B$504,B36,'Market Data'!$D$5:$D$504,G36))))</x:f>
      </x:c>
      <x:c r="V36" s="73" t="str">
        <x:f>IF(A36="","",U36*D36)</x:f>
      </x:c>
      <x:c r="W36" s="73" t="str">
        <x:f>IF(A36="","",V36*(Settings!$B$19+IF(F36="Sell Order",Settings!$B$13,0)))</x:f>
      </x:c>
      <x:c r="X36" s="73" t="str">
        <x:f>IF(A36="","",V36-W36+T36)</x:f>
      </x:c>
      <x:c r="Y36" s="73" t="str">
        <x:f>IF(A36="","",X36-P36-S36)</x:f>
      </x:c>
      <x:c r="Z36" s="50" t="str">
        <x:f>IF(A36="","",IF(V36=0,0,Y36/V36))</x:f>
      </x:c>
      <x:c r="AA36" s="72"/>
      <x:c r="AB36" s="68"/>
      <x:c r="AC36" s="73" t="str">
        <x:f>IF(A36="","",IF(K36="Yes",AA36*POWER(0.5,AB36/10000),0))</x:f>
      </x:c>
      <x:c r="AD36" s="73" t="str">
        <x:f>IF(A36="","",IF(K36="Yes",N36*((1-1/(1+I36+J36+Settings!$B$11))-(1-1/(1+I36+J36))),0))</x:f>
      </x:c>
      <x:c r="AE36" s="73" t="str">
        <x:f>IF(A36="","",IF(AC36&gt;0,AD36/AC36,0))</x:f>
      </x:c>
      <x:c r="AF36" s="73" t="str">
        <x:f>IF(A36="","",IF(D36=0,0,MAX(0,(P36+S36-T36)/(D36*(1-(Settings!$B$19+IF(F36="Sell Order",Settings!$B$13,0)))))))</x:f>
      </x:c>
      <x:c r="AG36" s="50" t="str">
        <x:f>IF(A36="","",IF(P36+S36=0,0,Y36/(P36+S36)))</x:f>
      </x:c>
      <x:c r="AH36" s="48" t="str">
        <x:f>IF(A36="","",IF(Y36&gt;0,"PROFIT",IF(Y36&lt;0,"LOSS","BREAK-EVEN")))</x:f>
      </x:c>
    </x:row>
    <x:row r="37">
      <x:c r="A37" s="42"/>
      <x:c r="B37" s="42"/>
      <x:c r="C37" s="42"/>
      <x:c r="D37" s="42"/>
      <x:c r="E37" s="42"/>
      <x:c r="F37" s="42"/>
      <x:c r="G37" s="42"/>
      <x:c r="H37" s="72"/>
      <x:c r="I37" s="76"/>
      <x:c r="J37" s="76"/>
      <x:c r="K37" s="42"/>
      <x:c r="L37" s="50" t="str">
        <x:f>IF(A37="","",I37+J37+IF(K37="Yes",Settings!$B$11,0))</x:f>
      </x:c>
      <x:c r="M37" s="50" t="str">
        <x:f>IF(A37="","",1-1/(1+L37))</x:f>
      </x:c>
      <x:c r="N37" s="73" t="str">
        <x:f>IF(A37="","",SUMIFS('Recipe Lines'!$N$5:$N$504,'Recipe Lines'!$A$5:$A$504,A37,'Recipe Lines'!$H$5:$H$504,"Yes"))</x:f>
      </x:c>
      <x:c r="O37" s="73" t="str">
        <x:f>IF(A37="","",SUMIFS('Recipe Lines'!$N$5:$N$504,'Recipe Lines'!$A$5:$A$504,A37,'Recipe Lines'!$H$5:$H$504,"No"))</x:f>
      </x:c>
      <x:c r="P37" s="73" t="str">
        <x:f>IF(A37="","",N37*(1-M37)+O37)</x:f>
      </x:c>
      <x:c r="Q37" s="46"/>
      <x:c r="R37" s="72"/>
      <x:c r="S37" s="73" t="str">
        <x:f>IF(A37="","",R37*0.1125*Q37)</x:f>
      </x:c>
      <x:c r="T37" s="72"/>
      <x:c r="U37" s="73" t="str">
        <x:f>IF(A37="","",IF(H37&gt;0,H37,IF(F37="Sell Order",SUMIFS('Market Data'!$E$5:$E$504,'Market Data'!$A$5:$A$504,E37,'Market Data'!$B$5:$B$504,B37,'Market Data'!$D$5:$D$504,G37),SUMIFS('Market Data'!$F$5:$F$504,'Market Data'!$A$5:$A$504,E37,'Market Data'!$B$5:$B$504,B37,'Market Data'!$D$5:$D$504,G37))))</x:f>
      </x:c>
      <x:c r="V37" s="73" t="str">
        <x:f>IF(A37="","",U37*D37)</x:f>
      </x:c>
      <x:c r="W37" s="73" t="str">
        <x:f>IF(A37="","",V37*(Settings!$B$19+IF(F37="Sell Order",Settings!$B$13,0)))</x:f>
      </x:c>
      <x:c r="X37" s="73" t="str">
        <x:f>IF(A37="","",V37-W37+T37)</x:f>
      </x:c>
      <x:c r="Y37" s="73" t="str">
        <x:f>IF(A37="","",X37-P37-S37)</x:f>
      </x:c>
      <x:c r="Z37" s="50" t="str">
        <x:f>IF(A37="","",IF(V37=0,0,Y37/V37))</x:f>
      </x:c>
      <x:c r="AA37" s="72"/>
      <x:c r="AB37" s="68"/>
      <x:c r="AC37" s="73" t="str">
        <x:f>IF(A37="","",IF(K37="Yes",AA37*POWER(0.5,AB37/10000),0))</x:f>
      </x:c>
      <x:c r="AD37" s="73" t="str">
        <x:f>IF(A37="","",IF(K37="Yes",N37*((1-1/(1+I37+J37+Settings!$B$11))-(1-1/(1+I37+J37))),0))</x:f>
      </x:c>
      <x:c r="AE37" s="73" t="str">
        <x:f>IF(A37="","",IF(AC37&gt;0,AD37/AC37,0))</x:f>
      </x:c>
      <x:c r="AF37" s="73" t="str">
        <x:f>IF(A37="","",IF(D37=0,0,MAX(0,(P37+S37-T37)/(D37*(1-(Settings!$B$19+IF(F37="Sell Order",Settings!$B$13,0)))))))</x:f>
      </x:c>
      <x:c r="AG37" s="50" t="str">
        <x:f>IF(A37="","",IF(P37+S37=0,0,Y37/(P37+S37)))</x:f>
      </x:c>
      <x:c r="AH37" s="48" t="str">
        <x:f>IF(A37="","",IF(Y37&gt;0,"PROFIT",IF(Y37&lt;0,"LOSS","BREAK-EVEN")))</x:f>
      </x:c>
    </x:row>
    <x:row r="38">
      <x:c r="A38" s="42"/>
      <x:c r="B38" s="42"/>
      <x:c r="C38" s="42"/>
      <x:c r="D38" s="42"/>
      <x:c r="E38" s="42"/>
      <x:c r="F38" s="42"/>
      <x:c r="G38" s="42"/>
      <x:c r="H38" s="72"/>
      <x:c r="I38" s="76"/>
      <x:c r="J38" s="76"/>
      <x:c r="K38" s="42"/>
      <x:c r="L38" s="50" t="str">
        <x:f>IF(A38="","",I38+J38+IF(K38="Yes",Settings!$B$11,0))</x:f>
      </x:c>
      <x:c r="M38" s="50" t="str">
        <x:f>IF(A38="","",1-1/(1+L38))</x:f>
      </x:c>
      <x:c r="N38" s="73" t="str">
        <x:f>IF(A38="","",SUMIFS('Recipe Lines'!$N$5:$N$504,'Recipe Lines'!$A$5:$A$504,A38,'Recipe Lines'!$H$5:$H$504,"Yes"))</x:f>
      </x:c>
      <x:c r="O38" s="73" t="str">
        <x:f>IF(A38="","",SUMIFS('Recipe Lines'!$N$5:$N$504,'Recipe Lines'!$A$5:$A$504,A38,'Recipe Lines'!$H$5:$H$504,"No"))</x:f>
      </x:c>
      <x:c r="P38" s="73" t="str">
        <x:f>IF(A38="","",N38*(1-M38)+O38)</x:f>
      </x:c>
      <x:c r="Q38" s="46"/>
      <x:c r="R38" s="72"/>
      <x:c r="S38" s="73" t="str">
        <x:f>IF(A38="","",R38*0.1125*Q38)</x:f>
      </x:c>
      <x:c r="T38" s="72"/>
      <x:c r="U38" s="73" t="str">
        <x:f>IF(A38="","",IF(H38&gt;0,H38,IF(F38="Sell Order",SUMIFS('Market Data'!$E$5:$E$504,'Market Data'!$A$5:$A$504,E38,'Market Data'!$B$5:$B$504,B38,'Market Data'!$D$5:$D$504,G38),SUMIFS('Market Data'!$F$5:$F$504,'Market Data'!$A$5:$A$504,E38,'Market Data'!$B$5:$B$504,B38,'Market Data'!$D$5:$D$504,G38))))</x:f>
      </x:c>
      <x:c r="V38" s="73" t="str">
        <x:f>IF(A38="","",U38*D38)</x:f>
      </x:c>
      <x:c r="W38" s="73" t="str">
        <x:f>IF(A38="","",V38*(Settings!$B$19+IF(F38="Sell Order",Settings!$B$13,0)))</x:f>
      </x:c>
      <x:c r="X38" s="73" t="str">
        <x:f>IF(A38="","",V38-W38+T38)</x:f>
      </x:c>
      <x:c r="Y38" s="73" t="str">
        <x:f>IF(A38="","",X38-P38-S38)</x:f>
      </x:c>
      <x:c r="Z38" s="50" t="str">
        <x:f>IF(A38="","",IF(V38=0,0,Y38/V38))</x:f>
      </x:c>
      <x:c r="AA38" s="72"/>
      <x:c r="AB38" s="68"/>
      <x:c r="AC38" s="73" t="str">
        <x:f>IF(A38="","",IF(K38="Yes",AA38*POWER(0.5,AB38/10000),0))</x:f>
      </x:c>
      <x:c r="AD38" s="73" t="str">
        <x:f>IF(A38="","",IF(K38="Yes",N38*((1-1/(1+I38+J38+Settings!$B$11))-(1-1/(1+I38+J38))),0))</x:f>
      </x:c>
      <x:c r="AE38" s="73" t="str">
        <x:f>IF(A38="","",IF(AC38&gt;0,AD38/AC38,0))</x:f>
      </x:c>
      <x:c r="AF38" s="73" t="str">
        <x:f>IF(A38="","",IF(D38=0,0,MAX(0,(P38+S38-T38)/(D38*(1-(Settings!$B$19+IF(F38="Sell Order",Settings!$B$13,0)))))))</x:f>
      </x:c>
      <x:c r="AG38" s="50" t="str">
        <x:f>IF(A38="","",IF(P38+S38=0,0,Y38/(P38+S38)))</x:f>
      </x:c>
      <x:c r="AH38" s="48" t="str">
        <x:f>IF(A38="","",IF(Y38&gt;0,"PROFIT",IF(Y38&lt;0,"LOSS","BREAK-EVEN")))</x:f>
      </x:c>
    </x:row>
    <x:row r="39">
      <x:c r="A39" s="42"/>
      <x:c r="B39" s="42"/>
      <x:c r="C39" s="42"/>
      <x:c r="D39" s="42"/>
      <x:c r="E39" s="42"/>
      <x:c r="F39" s="42"/>
      <x:c r="G39" s="42"/>
      <x:c r="H39" s="72"/>
      <x:c r="I39" s="76"/>
      <x:c r="J39" s="76"/>
      <x:c r="K39" s="42"/>
      <x:c r="L39" s="50" t="str">
        <x:f>IF(A39="","",I39+J39+IF(K39="Yes",Settings!$B$11,0))</x:f>
      </x:c>
      <x:c r="M39" s="50" t="str">
        <x:f>IF(A39="","",1-1/(1+L39))</x:f>
      </x:c>
      <x:c r="N39" s="73" t="str">
        <x:f>IF(A39="","",SUMIFS('Recipe Lines'!$N$5:$N$504,'Recipe Lines'!$A$5:$A$504,A39,'Recipe Lines'!$H$5:$H$504,"Yes"))</x:f>
      </x:c>
      <x:c r="O39" s="73" t="str">
        <x:f>IF(A39="","",SUMIFS('Recipe Lines'!$N$5:$N$504,'Recipe Lines'!$A$5:$A$504,A39,'Recipe Lines'!$H$5:$H$504,"No"))</x:f>
      </x:c>
      <x:c r="P39" s="73" t="str">
        <x:f>IF(A39="","",N39*(1-M39)+O39)</x:f>
      </x:c>
      <x:c r="Q39" s="46"/>
      <x:c r="R39" s="72"/>
      <x:c r="S39" s="73" t="str">
        <x:f>IF(A39="","",R39*0.1125*Q39)</x:f>
      </x:c>
      <x:c r="T39" s="72"/>
      <x:c r="U39" s="73" t="str">
        <x:f>IF(A39="","",IF(H39&gt;0,H39,IF(F39="Sell Order",SUMIFS('Market Data'!$E$5:$E$504,'Market Data'!$A$5:$A$504,E39,'Market Data'!$B$5:$B$504,B39,'Market Data'!$D$5:$D$504,G39),SUMIFS('Market Data'!$F$5:$F$504,'Market Data'!$A$5:$A$504,E39,'Market Data'!$B$5:$B$504,B39,'Market Data'!$D$5:$D$504,G39))))</x:f>
      </x:c>
      <x:c r="V39" s="73" t="str">
        <x:f>IF(A39="","",U39*D39)</x:f>
      </x:c>
      <x:c r="W39" s="73" t="str">
        <x:f>IF(A39="","",V39*(Settings!$B$19+IF(F39="Sell Order",Settings!$B$13,0)))</x:f>
      </x:c>
      <x:c r="X39" s="73" t="str">
        <x:f>IF(A39="","",V39-W39+T39)</x:f>
      </x:c>
      <x:c r="Y39" s="73" t="str">
        <x:f>IF(A39="","",X39-P39-S39)</x:f>
      </x:c>
      <x:c r="Z39" s="50" t="str">
        <x:f>IF(A39="","",IF(V39=0,0,Y39/V39))</x:f>
      </x:c>
      <x:c r="AA39" s="72"/>
      <x:c r="AB39" s="68"/>
      <x:c r="AC39" s="73" t="str">
        <x:f>IF(A39="","",IF(K39="Yes",AA39*POWER(0.5,AB39/10000),0))</x:f>
      </x:c>
      <x:c r="AD39" s="73" t="str">
        <x:f>IF(A39="","",IF(K39="Yes",N39*((1-1/(1+I39+J39+Settings!$B$11))-(1-1/(1+I39+J39))),0))</x:f>
      </x:c>
      <x:c r="AE39" s="73" t="str">
        <x:f>IF(A39="","",IF(AC39&gt;0,AD39/AC39,0))</x:f>
      </x:c>
      <x:c r="AF39" s="73" t="str">
        <x:f>IF(A39="","",IF(D39=0,0,MAX(0,(P39+S39-T39)/(D39*(1-(Settings!$B$19+IF(F39="Sell Order",Settings!$B$13,0)))))))</x:f>
      </x:c>
      <x:c r="AG39" s="50" t="str">
        <x:f>IF(A39="","",IF(P39+S39=0,0,Y39/(P39+S39)))</x:f>
      </x:c>
      <x:c r="AH39" s="48" t="str">
        <x:f>IF(A39="","",IF(Y39&gt;0,"PROFIT",IF(Y39&lt;0,"LOSS","BREAK-EVEN")))</x:f>
      </x:c>
    </x:row>
    <x:row r="40">
      <x:c r="A40" s="42"/>
      <x:c r="B40" s="42"/>
      <x:c r="C40" s="42"/>
      <x:c r="D40" s="42"/>
      <x:c r="E40" s="42"/>
      <x:c r="F40" s="42"/>
      <x:c r="G40" s="42"/>
      <x:c r="H40" s="72"/>
      <x:c r="I40" s="76"/>
      <x:c r="J40" s="76"/>
      <x:c r="K40" s="42"/>
      <x:c r="L40" s="50" t="str">
        <x:f>IF(A40="","",I40+J40+IF(K40="Yes",Settings!$B$11,0))</x:f>
      </x:c>
      <x:c r="M40" s="50" t="str">
        <x:f>IF(A40="","",1-1/(1+L40))</x:f>
      </x:c>
      <x:c r="N40" s="73" t="str">
        <x:f>IF(A40="","",SUMIFS('Recipe Lines'!$N$5:$N$504,'Recipe Lines'!$A$5:$A$504,A40,'Recipe Lines'!$H$5:$H$504,"Yes"))</x:f>
      </x:c>
      <x:c r="O40" s="73" t="str">
        <x:f>IF(A40="","",SUMIFS('Recipe Lines'!$N$5:$N$504,'Recipe Lines'!$A$5:$A$504,A40,'Recipe Lines'!$H$5:$H$504,"No"))</x:f>
      </x:c>
      <x:c r="P40" s="73" t="str">
        <x:f>IF(A40="","",N40*(1-M40)+O40)</x:f>
      </x:c>
      <x:c r="Q40" s="46"/>
      <x:c r="R40" s="72"/>
      <x:c r="S40" s="73" t="str">
        <x:f>IF(A40="","",R40*0.1125*Q40)</x:f>
      </x:c>
      <x:c r="T40" s="72"/>
      <x:c r="U40" s="73" t="str">
        <x:f>IF(A40="","",IF(H40&gt;0,H40,IF(F40="Sell Order",SUMIFS('Market Data'!$E$5:$E$504,'Market Data'!$A$5:$A$504,E40,'Market Data'!$B$5:$B$504,B40,'Market Data'!$D$5:$D$504,G40),SUMIFS('Market Data'!$F$5:$F$504,'Market Data'!$A$5:$A$504,E40,'Market Data'!$B$5:$B$504,B40,'Market Data'!$D$5:$D$504,G40))))</x:f>
      </x:c>
      <x:c r="V40" s="73" t="str">
        <x:f>IF(A40="","",U40*D40)</x:f>
      </x:c>
      <x:c r="W40" s="73" t="str">
        <x:f>IF(A40="","",V40*(Settings!$B$19+IF(F40="Sell Order",Settings!$B$13,0)))</x:f>
      </x:c>
      <x:c r="X40" s="73" t="str">
        <x:f>IF(A40="","",V40-W40+T40)</x:f>
      </x:c>
      <x:c r="Y40" s="73" t="str">
        <x:f>IF(A40="","",X40-P40-S40)</x:f>
      </x:c>
      <x:c r="Z40" s="50" t="str">
        <x:f>IF(A40="","",IF(V40=0,0,Y40/V40))</x:f>
      </x:c>
      <x:c r="AA40" s="72"/>
      <x:c r="AB40" s="68"/>
      <x:c r="AC40" s="73" t="str">
        <x:f>IF(A40="","",IF(K40="Yes",AA40*POWER(0.5,AB40/10000),0))</x:f>
      </x:c>
      <x:c r="AD40" s="73" t="str">
        <x:f>IF(A40="","",IF(K40="Yes",N40*((1-1/(1+I40+J40+Settings!$B$11))-(1-1/(1+I40+J40))),0))</x:f>
      </x:c>
      <x:c r="AE40" s="73" t="str">
        <x:f>IF(A40="","",IF(AC40&gt;0,AD40/AC40,0))</x:f>
      </x:c>
      <x:c r="AF40" s="73" t="str">
        <x:f>IF(A40="","",IF(D40=0,0,MAX(0,(P40+S40-T40)/(D40*(1-(Settings!$B$19+IF(F40="Sell Order",Settings!$B$13,0)))))))</x:f>
      </x:c>
      <x:c r="AG40" s="50" t="str">
        <x:f>IF(A40="","",IF(P40+S40=0,0,Y40/(P40+S40)))</x:f>
      </x:c>
      <x:c r="AH40" s="48" t="str">
        <x:f>IF(A40="","",IF(Y40&gt;0,"PROFIT",IF(Y40&lt;0,"LOSS","BREAK-EVEN")))</x:f>
      </x:c>
    </x:row>
    <x:row r="41">
      <x:c r="A41" s="42"/>
      <x:c r="B41" s="42"/>
      <x:c r="C41" s="42"/>
      <x:c r="D41" s="42"/>
      <x:c r="E41" s="42"/>
      <x:c r="F41" s="42"/>
      <x:c r="G41" s="42"/>
      <x:c r="H41" s="72"/>
      <x:c r="I41" s="76"/>
      <x:c r="J41" s="76"/>
      <x:c r="K41" s="42"/>
      <x:c r="L41" s="50" t="str">
        <x:f>IF(A41="","",I41+J41+IF(K41="Yes",Settings!$B$11,0))</x:f>
      </x:c>
      <x:c r="M41" s="50" t="str">
        <x:f>IF(A41="","",1-1/(1+L41))</x:f>
      </x:c>
      <x:c r="N41" s="73" t="str">
        <x:f>IF(A41="","",SUMIFS('Recipe Lines'!$N$5:$N$504,'Recipe Lines'!$A$5:$A$504,A41,'Recipe Lines'!$H$5:$H$504,"Yes"))</x:f>
      </x:c>
      <x:c r="O41" s="73" t="str">
        <x:f>IF(A41="","",SUMIFS('Recipe Lines'!$N$5:$N$504,'Recipe Lines'!$A$5:$A$504,A41,'Recipe Lines'!$H$5:$H$504,"No"))</x:f>
      </x:c>
      <x:c r="P41" s="73" t="str">
        <x:f>IF(A41="","",N41*(1-M41)+O41)</x:f>
      </x:c>
      <x:c r="Q41" s="46"/>
      <x:c r="R41" s="72"/>
      <x:c r="S41" s="73" t="str">
        <x:f>IF(A41="","",R41*0.1125*Q41)</x:f>
      </x:c>
      <x:c r="T41" s="72"/>
      <x:c r="U41" s="73" t="str">
        <x:f>IF(A41="","",IF(H41&gt;0,H41,IF(F41="Sell Order",SUMIFS('Market Data'!$E$5:$E$504,'Market Data'!$A$5:$A$504,E41,'Market Data'!$B$5:$B$504,B41,'Market Data'!$D$5:$D$504,G41),SUMIFS('Market Data'!$F$5:$F$504,'Market Data'!$A$5:$A$504,E41,'Market Data'!$B$5:$B$504,B41,'Market Data'!$D$5:$D$504,G41))))</x:f>
      </x:c>
      <x:c r="V41" s="73" t="str">
        <x:f>IF(A41="","",U41*D41)</x:f>
      </x:c>
      <x:c r="W41" s="73" t="str">
        <x:f>IF(A41="","",V41*(Settings!$B$19+IF(F41="Sell Order",Settings!$B$13,0)))</x:f>
      </x:c>
      <x:c r="X41" s="73" t="str">
        <x:f>IF(A41="","",V41-W41+T41)</x:f>
      </x:c>
      <x:c r="Y41" s="73" t="str">
        <x:f>IF(A41="","",X41-P41-S41)</x:f>
      </x:c>
      <x:c r="Z41" s="50" t="str">
        <x:f>IF(A41="","",IF(V41=0,0,Y41/V41))</x:f>
      </x:c>
      <x:c r="AA41" s="72"/>
      <x:c r="AB41" s="68"/>
      <x:c r="AC41" s="73" t="str">
        <x:f>IF(A41="","",IF(K41="Yes",AA41*POWER(0.5,AB41/10000),0))</x:f>
      </x:c>
      <x:c r="AD41" s="73" t="str">
        <x:f>IF(A41="","",IF(K41="Yes",N41*((1-1/(1+I41+J41+Settings!$B$11))-(1-1/(1+I41+J41))),0))</x:f>
      </x:c>
      <x:c r="AE41" s="73" t="str">
        <x:f>IF(A41="","",IF(AC41&gt;0,AD41/AC41,0))</x:f>
      </x:c>
      <x:c r="AF41" s="73" t="str">
        <x:f>IF(A41="","",IF(D41=0,0,MAX(0,(P41+S41-T41)/(D41*(1-(Settings!$B$19+IF(F41="Sell Order",Settings!$B$13,0)))))))</x:f>
      </x:c>
      <x:c r="AG41" s="50" t="str">
        <x:f>IF(A41="","",IF(P41+S41=0,0,Y41/(P41+S41)))</x:f>
      </x:c>
      <x:c r="AH41" s="48" t="str">
        <x:f>IF(A41="","",IF(Y41&gt;0,"PROFIT",IF(Y41&lt;0,"LOSS","BREAK-EVEN")))</x:f>
      </x:c>
    </x:row>
    <x:row r="42">
      <x:c r="A42" s="42"/>
      <x:c r="B42" s="42"/>
      <x:c r="C42" s="42"/>
      <x:c r="D42" s="42"/>
      <x:c r="E42" s="42"/>
      <x:c r="F42" s="42"/>
      <x:c r="G42" s="42"/>
      <x:c r="H42" s="72"/>
      <x:c r="I42" s="76"/>
      <x:c r="J42" s="76"/>
      <x:c r="K42" s="42"/>
      <x:c r="L42" s="50" t="str">
        <x:f>IF(A42="","",I42+J42+IF(K42="Yes",Settings!$B$11,0))</x:f>
      </x:c>
      <x:c r="M42" s="50" t="str">
        <x:f>IF(A42="","",1-1/(1+L42))</x:f>
      </x:c>
      <x:c r="N42" s="73" t="str">
        <x:f>IF(A42="","",SUMIFS('Recipe Lines'!$N$5:$N$504,'Recipe Lines'!$A$5:$A$504,A42,'Recipe Lines'!$H$5:$H$504,"Yes"))</x:f>
      </x:c>
      <x:c r="O42" s="73" t="str">
        <x:f>IF(A42="","",SUMIFS('Recipe Lines'!$N$5:$N$504,'Recipe Lines'!$A$5:$A$504,A42,'Recipe Lines'!$H$5:$H$504,"No"))</x:f>
      </x:c>
      <x:c r="P42" s="73" t="str">
        <x:f>IF(A42="","",N42*(1-M42)+O42)</x:f>
      </x:c>
      <x:c r="Q42" s="46"/>
      <x:c r="R42" s="72"/>
      <x:c r="S42" s="73" t="str">
        <x:f>IF(A42="","",R42*0.1125*Q42)</x:f>
      </x:c>
      <x:c r="T42" s="72"/>
      <x:c r="U42" s="73" t="str">
        <x:f>IF(A42="","",IF(H42&gt;0,H42,IF(F42="Sell Order",SUMIFS('Market Data'!$E$5:$E$504,'Market Data'!$A$5:$A$504,E42,'Market Data'!$B$5:$B$504,B42,'Market Data'!$D$5:$D$504,G42),SUMIFS('Market Data'!$F$5:$F$504,'Market Data'!$A$5:$A$504,E42,'Market Data'!$B$5:$B$504,B42,'Market Data'!$D$5:$D$504,G42))))</x:f>
      </x:c>
      <x:c r="V42" s="73" t="str">
        <x:f>IF(A42="","",U42*D42)</x:f>
      </x:c>
      <x:c r="W42" s="73" t="str">
        <x:f>IF(A42="","",V42*(Settings!$B$19+IF(F42="Sell Order",Settings!$B$13,0)))</x:f>
      </x:c>
      <x:c r="X42" s="73" t="str">
        <x:f>IF(A42="","",V42-W42+T42)</x:f>
      </x:c>
      <x:c r="Y42" s="73" t="str">
        <x:f>IF(A42="","",X42-P42-S42)</x:f>
      </x:c>
      <x:c r="Z42" s="50" t="str">
        <x:f>IF(A42="","",IF(V42=0,0,Y42/V42))</x:f>
      </x:c>
      <x:c r="AA42" s="72"/>
      <x:c r="AB42" s="68"/>
      <x:c r="AC42" s="73" t="str">
        <x:f>IF(A42="","",IF(K42="Yes",AA42*POWER(0.5,AB42/10000),0))</x:f>
      </x:c>
      <x:c r="AD42" s="73" t="str">
        <x:f>IF(A42="","",IF(K42="Yes",N42*((1-1/(1+I42+J42+Settings!$B$11))-(1-1/(1+I42+J42))),0))</x:f>
      </x:c>
      <x:c r="AE42" s="73" t="str">
        <x:f>IF(A42="","",IF(AC42&gt;0,AD42/AC42,0))</x:f>
      </x:c>
      <x:c r="AF42" s="73" t="str">
        <x:f>IF(A42="","",IF(D42=0,0,MAX(0,(P42+S42-T42)/(D42*(1-(Settings!$B$19+IF(F42="Sell Order",Settings!$B$13,0)))))))</x:f>
      </x:c>
      <x:c r="AG42" s="50" t="str">
        <x:f>IF(A42="","",IF(P42+S42=0,0,Y42/(P42+S42)))</x:f>
      </x:c>
      <x:c r="AH42" s="48" t="str">
        <x:f>IF(A42="","",IF(Y42&gt;0,"PROFIT",IF(Y42&lt;0,"LOSS","BREAK-EVEN")))</x:f>
      </x:c>
    </x:row>
    <x:row r="43">
      <x:c r="A43" s="42"/>
      <x:c r="B43" s="42"/>
      <x:c r="C43" s="42"/>
      <x:c r="D43" s="42"/>
      <x:c r="E43" s="42"/>
      <x:c r="F43" s="42"/>
      <x:c r="G43" s="42"/>
      <x:c r="H43" s="72"/>
      <x:c r="I43" s="76"/>
      <x:c r="J43" s="76"/>
      <x:c r="K43" s="42"/>
      <x:c r="L43" s="50" t="str">
        <x:f>IF(A43="","",I43+J43+IF(K43="Yes",Settings!$B$11,0))</x:f>
      </x:c>
      <x:c r="M43" s="50" t="str">
        <x:f>IF(A43="","",1-1/(1+L43))</x:f>
      </x:c>
      <x:c r="N43" s="73" t="str">
        <x:f>IF(A43="","",SUMIFS('Recipe Lines'!$N$5:$N$504,'Recipe Lines'!$A$5:$A$504,A43,'Recipe Lines'!$H$5:$H$504,"Yes"))</x:f>
      </x:c>
      <x:c r="O43" s="73" t="str">
        <x:f>IF(A43="","",SUMIFS('Recipe Lines'!$N$5:$N$504,'Recipe Lines'!$A$5:$A$504,A43,'Recipe Lines'!$H$5:$H$504,"No"))</x:f>
      </x:c>
      <x:c r="P43" s="73" t="str">
        <x:f>IF(A43="","",N43*(1-M43)+O43)</x:f>
      </x:c>
      <x:c r="Q43" s="46"/>
      <x:c r="R43" s="72"/>
      <x:c r="S43" s="73" t="str">
        <x:f>IF(A43="","",R43*0.1125*Q43)</x:f>
      </x:c>
      <x:c r="T43" s="72"/>
      <x:c r="U43" s="73" t="str">
        <x:f>IF(A43="","",IF(H43&gt;0,H43,IF(F43="Sell Order",SUMIFS('Market Data'!$E$5:$E$504,'Market Data'!$A$5:$A$504,E43,'Market Data'!$B$5:$B$504,B43,'Market Data'!$D$5:$D$504,G43),SUMIFS('Market Data'!$F$5:$F$504,'Market Data'!$A$5:$A$504,E43,'Market Data'!$B$5:$B$504,B43,'Market Data'!$D$5:$D$504,G43))))</x:f>
      </x:c>
      <x:c r="V43" s="73" t="str">
        <x:f>IF(A43="","",U43*D43)</x:f>
      </x:c>
      <x:c r="W43" s="73" t="str">
        <x:f>IF(A43="","",V43*(Settings!$B$19+IF(F43="Sell Order",Settings!$B$13,0)))</x:f>
      </x:c>
      <x:c r="X43" s="73" t="str">
        <x:f>IF(A43="","",V43-W43+T43)</x:f>
      </x:c>
      <x:c r="Y43" s="73" t="str">
        <x:f>IF(A43="","",X43-P43-S43)</x:f>
      </x:c>
      <x:c r="Z43" s="50" t="str">
        <x:f>IF(A43="","",IF(V43=0,0,Y43/V43))</x:f>
      </x:c>
      <x:c r="AA43" s="72"/>
      <x:c r="AB43" s="68"/>
      <x:c r="AC43" s="73" t="str">
        <x:f>IF(A43="","",IF(K43="Yes",AA43*POWER(0.5,AB43/10000),0))</x:f>
      </x:c>
      <x:c r="AD43" s="73" t="str">
        <x:f>IF(A43="","",IF(K43="Yes",N43*((1-1/(1+I43+J43+Settings!$B$11))-(1-1/(1+I43+J43))),0))</x:f>
      </x:c>
      <x:c r="AE43" s="73" t="str">
        <x:f>IF(A43="","",IF(AC43&gt;0,AD43/AC43,0))</x:f>
      </x:c>
      <x:c r="AF43" s="73" t="str">
        <x:f>IF(A43="","",IF(D43=0,0,MAX(0,(P43+S43-T43)/(D43*(1-(Settings!$B$19+IF(F43="Sell Order",Settings!$B$13,0)))))))</x:f>
      </x:c>
      <x:c r="AG43" s="50" t="str">
        <x:f>IF(A43="","",IF(P43+S43=0,0,Y43/(P43+S43)))</x:f>
      </x:c>
      <x:c r="AH43" s="48" t="str">
        <x:f>IF(A43="","",IF(Y43&gt;0,"PROFIT",IF(Y43&lt;0,"LOSS","BREAK-EVEN")))</x:f>
      </x:c>
    </x:row>
    <x:row r="44">
      <x:c r="A44" s="42"/>
      <x:c r="B44" s="42"/>
      <x:c r="C44" s="42"/>
      <x:c r="D44" s="42"/>
      <x:c r="E44" s="42"/>
      <x:c r="F44" s="42"/>
      <x:c r="G44" s="42"/>
      <x:c r="H44" s="72"/>
      <x:c r="I44" s="76"/>
      <x:c r="J44" s="76"/>
      <x:c r="K44" s="42"/>
      <x:c r="L44" s="50" t="str">
        <x:f>IF(A44="","",I44+J44+IF(K44="Yes",Settings!$B$11,0))</x:f>
      </x:c>
      <x:c r="M44" s="50" t="str">
        <x:f>IF(A44="","",1-1/(1+L44))</x:f>
      </x:c>
      <x:c r="N44" s="73" t="str">
        <x:f>IF(A44="","",SUMIFS('Recipe Lines'!$N$5:$N$504,'Recipe Lines'!$A$5:$A$504,A44,'Recipe Lines'!$H$5:$H$504,"Yes"))</x:f>
      </x:c>
      <x:c r="O44" s="73" t="str">
        <x:f>IF(A44="","",SUMIFS('Recipe Lines'!$N$5:$N$504,'Recipe Lines'!$A$5:$A$504,A44,'Recipe Lines'!$H$5:$H$504,"No"))</x:f>
      </x:c>
      <x:c r="P44" s="73" t="str">
        <x:f>IF(A44="","",N44*(1-M44)+O44)</x:f>
      </x:c>
      <x:c r="Q44" s="46"/>
      <x:c r="R44" s="72"/>
      <x:c r="S44" s="73" t="str">
        <x:f>IF(A44="","",R44*0.1125*Q44)</x:f>
      </x:c>
      <x:c r="T44" s="72"/>
      <x:c r="U44" s="73" t="str">
        <x:f>IF(A44="","",IF(H44&gt;0,H44,IF(F44="Sell Order",SUMIFS('Market Data'!$E$5:$E$504,'Market Data'!$A$5:$A$504,E44,'Market Data'!$B$5:$B$504,B44,'Market Data'!$D$5:$D$504,G44),SUMIFS('Market Data'!$F$5:$F$504,'Market Data'!$A$5:$A$504,E44,'Market Data'!$B$5:$B$504,B44,'Market Data'!$D$5:$D$504,G44))))</x:f>
      </x:c>
      <x:c r="V44" s="73" t="str">
        <x:f>IF(A44="","",U44*D44)</x:f>
      </x:c>
      <x:c r="W44" s="73" t="str">
        <x:f>IF(A44="","",V44*(Settings!$B$19+IF(F44="Sell Order",Settings!$B$13,0)))</x:f>
      </x:c>
      <x:c r="X44" s="73" t="str">
        <x:f>IF(A44="","",V44-W44+T44)</x:f>
      </x:c>
      <x:c r="Y44" s="73" t="str">
        <x:f>IF(A44="","",X44-P44-S44)</x:f>
      </x:c>
      <x:c r="Z44" s="50" t="str">
        <x:f>IF(A44="","",IF(V44=0,0,Y44/V44))</x:f>
      </x:c>
      <x:c r="AA44" s="72"/>
      <x:c r="AB44" s="68"/>
      <x:c r="AC44" s="73" t="str">
        <x:f>IF(A44="","",IF(K44="Yes",AA44*POWER(0.5,AB44/10000),0))</x:f>
      </x:c>
      <x:c r="AD44" s="73" t="str">
        <x:f>IF(A44="","",IF(K44="Yes",N44*((1-1/(1+I44+J44+Settings!$B$11))-(1-1/(1+I44+J44))),0))</x:f>
      </x:c>
      <x:c r="AE44" s="73" t="str">
        <x:f>IF(A44="","",IF(AC44&gt;0,AD44/AC44,0))</x:f>
      </x:c>
      <x:c r="AF44" s="73" t="str">
        <x:f>IF(A44="","",IF(D44=0,0,MAX(0,(P44+S44-T44)/(D44*(1-(Settings!$B$19+IF(F44="Sell Order",Settings!$B$13,0)))))))</x:f>
      </x:c>
      <x:c r="AG44" s="50" t="str">
        <x:f>IF(A44="","",IF(P44+S44=0,0,Y44/(P44+S44)))</x:f>
      </x:c>
      <x:c r="AH44" s="48" t="str">
        <x:f>IF(A44="","",IF(Y44&gt;0,"PROFIT",IF(Y44&lt;0,"LOSS","BREAK-EVEN")))</x:f>
      </x:c>
    </x:row>
    <x:row r="45">
      <x:c r="A45" s="42"/>
      <x:c r="B45" s="42"/>
      <x:c r="C45" s="42"/>
      <x:c r="D45" s="42"/>
      <x:c r="E45" s="42"/>
      <x:c r="F45" s="42"/>
      <x:c r="G45" s="42"/>
      <x:c r="H45" s="72"/>
      <x:c r="I45" s="76"/>
      <x:c r="J45" s="76"/>
      <x:c r="K45" s="42"/>
      <x:c r="L45" s="50" t="str">
        <x:f>IF(A45="","",I45+J45+IF(K45="Yes",Settings!$B$11,0))</x:f>
      </x:c>
      <x:c r="M45" s="50" t="str">
        <x:f>IF(A45="","",1-1/(1+L45))</x:f>
      </x:c>
      <x:c r="N45" s="73" t="str">
        <x:f>IF(A45="","",SUMIFS('Recipe Lines'!$N$5:$N$504,'Recipe Lines'!$A$5:$A$504,A45,'Recipe Lines'!$H$5:$H$504,"Yes"))</x:f>
      </x:c>
      <x:c r="O45" s="73" t="str">
        <x:f>IF(A45="","",SUMIFS('Recipe Lines'!$N$5:$N$504,'Recipe Lines'!$A$5:$A$504,A45,'Recipe Lines'!$H$5:$H$504,"No"))</x:f>
      </x:c>
      <x:c r="P45" s="73" t="str">
        <x:f>IF(A45="","",N45*(1-M45)+O45)</x:f>
      </x:c>
      <x:c r="Q45" s="46"/>
      <x:c r="R45" s="72"/>
      <x:c r="S45" s="73" t="str">
        <x:f>IF(A45="","",R45*0.1125*Q45)</x:f>
      </x:c>
      <x:c r="T45" s="72"/>
      <x:c r="U45" s="73" t="str">
        <x:f>IF(A45="","",IF(H45&gt;0,H45,IF(F45="Sell Order",SUMIFS('Market Data'!$E$5:$E$504,'Market Data'!$A$5:$A$504,E45,'Market Data'!$B$5:$B$504,B45,'Market Data'!$D$5:$D$504,G45),SUMIFS('Market Data'!$F$5:$F$504,'Market Data'!$A$5:$A$504,E45,'Market Data'!$B$5:$B$504,B45,'Market Data'!$D$5:$D$504,G45))))</x:f>
      </x:c>
      <x:c r="V45" s="73" t="str">
        <x:f>IF(A45="","",U45*D45)</x:f>
      </x:c>
      <x:c r="W45" s="73" t="str">
        <x:f>IF(A45="","",V45*(Settings!$B$19+IF(F45="Sell Order",Settings!$B$13,0)))</x:f>
      </x:c>
      <x:c r="X45" s="73" t="str">
        <x:f>IF(A45="","",V45-W45+T45)</x:f>
      </x:c>
      <x:c r="Y45" s="73" t="str">
        <x:f>IF(A45="","",X45-P45-S45)</x:f>
      </x:c>
      <x:c r="Z45" s="50" t="str">
        <x:f>IF(A45="","",IF(V45=0,0,Y45/V45))</x:f>
      </x:c>
      <x:c r="AA45" s="72"/>
      <x:c r="AB45" s="68"/>
      <x:c r="AC45" s="73" t="str">
        <x:f>IF(A45="","",IF(K45="Yes",AA45*POWER(0.5,AB45/10000),0))</x:f>
      </x:c>
      <x:c r="AD45" s="73" t="str">
        <x:f>IF(A45="","",IF(K45="Yes",N45*((1-1/(1+I45+J45+Settings!$B$11))-(1-1/(1+I45+J45))),0))</x:f>
      </x:c>
      <x:c r="AE45" s="73" t="str">
        <x:f>IF(A45="","",IF(AC45&gt;0,AD45/AC45,0))</x:f>
      </x:c>
      <x:c r="AF45" s="73" t="str">
        <x:f>IF(A45="","",IF(D45=0,0,MAX(0,(P45+S45-T45)/(D45*(1-(Settings!$B$19+IF(F45="Sell Order",Settings!$B$13,0)))))))</x:f>
      </x:c>
      <x:c r="AG45" s="50" t="str">
        <x:f>IF(A45="","",IF(P45+S45=0,0,Y45/(P45+S45)))</x:f>
      </x:c>
      <x:c r="AH45" s="48" t="str">
        <x:f>IF(A45="","",IF(Y45&gt;0,"PROFIT",IF(Y45&lt;0,"LOSS","BREAK-EVEN")))</x:f>
      </x:c>
    </x:row>
    <x:row r="46">
      <x:c r="A46" s="42"/>
      <x:c r="B46" s="42"/>
      <x:c r="C46" s="42"/>
      <x:c r="D46" s="42"/>
      <x:c r="E46" s="42"/>
      <x:c r="F46" s="42"/>
      <x:c r="G46" s="42"/>
      <x:c r="H46" s="72"/>
      <x:c r="I46" s="76"/>
      <x:c r="J46" s="76"/>
      <x:c r="K46" s="42"/>
      <x:c r="L46" s="50" t="str">
        <x:f>IF(A46="","",I46+J46+IF(K46="Yes",Settings!$B$11,0))</x:f>
      </x:c>
      <x:c r="M46" s="50" t="str">
        <x:f>IF(A46="","",1-1/(1+L46))</x:f>
      </x:c>
      <x:c r="N46" s="73" t="str">
        <x:f>IF(A46="","",SUMIFS('Recipe Lines'!$N$5:$N$504,'Recipe Lines'!$A$5:$A$504,A46,'Recipe Lines'!$H$5:$H$504,"Yes"))</x:f>
      </x:c>
      <x:c r="O46" s="73" t="str">
        <x:f>IF(A46="","",SUMIFS('Recipe Lines'!$N$5:$N$504,'Recipe Lines'!$A$5:$A$504,A46,'Recipe Lines'!$H$5:$H$504,"No"))</x:f>
      </x:c>
      <x:c r="P46" s="73" t="str">
        <x:f>IF(A46="","",N46*(1-M46)+O46)</x:f>
      </x:c>
      <x:c r="Q46" s="46"/>
      <x:c r="R46" s="72"/>
      <x:c r="S46" s="73" t="str">
        <x:f>IF(A46="","",R46*0.1125*Q46)</x:f>
      </x:c>
      <x:c r="T46" s="72"/>
      <x:c r="U46" s="73" t="str">
        <x:f>IF(A46="","",IF(H46&gt;0,H46,IF(F46="Sell Order",SUMIFS('Market Data'!$E$5:$E$504,'Market Data'!$A$5:$A$504,E46,'Market Data'!$B$5:$B$504,B46,'Market Data'!$D$5:$D$504,G46),SUMIFS('Market Data'!$F$5:$F$504,'Market Data'!$A$5:$A$504,E46,'Market Data'!$B$5:$B$504,B46,'Market Data'!$D$5:$D$504,G46))))</x:f>
      </x:c>
      <x:c r="V46" s="73" t="str">
        <x:f>IF(A46="","",U46*D46)</x:f>
      </x:c>
      <x:c r="W46" s="73" t="str">
        <x:f>IF(A46="","",V46*(Settings!$B$19+IF(F46="Sell Order",Settings!$B$13,0)))</x:f>
      </x:c>
      <x:c r="X46" s="73" t="str">
        <x:f>IF(A46="","",V46-W46+T46)</x:f>
      </x:c>
      <x:c r="Y46" s="73" t="str">
        <x:f>IF(A46="","",X46-P46-S46)</x:f>
      </x:c>
      <x:c r="Z46" s="50" t="str">
        <x:f>IF(A46="","",IF(V46=0,0,Y46/V46))</x:f>
      </x:c>
      <x:c r="AA46" s="72"/>
      <x:c r="AB46" s="68"/>
      <x:c r="AC46" s="73" t="str">
        <x:f>IF(A46="","",IF(K46="Yes",AA46*POWER(0.5,AB46/10000),0))</x:f>
      </x:c>
      <x:c r="AD46" s="73" t="str">
        <x:f>IF(A46="","",IF(K46="Yes",N46*((1-1/(1+I46+J46+Settings!$B$11))-(1-1/(1+I46+J46))),0))</x:f>
      </x:c>
      <x:c r="AE46" s="73" t="str">
        <x:f>IF(A46="","",IF(AC46&gt;0,AD46/AC46,0))</x:f>
      </x:c>
      <x:c r="AF46" s="73" t="str">
        <x:f>IF(A46="","",IF(D46=0,0,MAX(0,(P46+S46-T46)/(D46*(1-(Settings!$B$19+IF(F46="Sell Order",Settings!$B$13,0)))))))</x:f>
      </x:c>
      <x:c r="AG46" s="50" t="str">
        <x:f>IF(A46="","",IF(P46+S46=0,0,Y46/(P46+S46)))</x:f>
      </x:c>
      <x:c r="AH46" s="48" t="str">
        <x:f>IF(A46="","",IF(Y46&gt;0,"PROFIT",IF(Y46&lt;0,"LOSS","BREAK-EVEN")))</x:f>
      </x:c>
    </x:row>
    <x:row r="47">
      <x:c r="A47" s="42"/>
      <x:c r="B47" s="42"/>
      <x:c r="C47" s="42"/>
      <x:c r="D47" s="42"/>
      <x:c r="E47" s="42"/>
      <x:c r="F47" s="42"/>
      <x:c r="G47" s="42"/>
      <x:c r="H47" s="72"/>
      <x:c r="I47" s="76"/>
      <x:c r="J47" s="76"/>
      <x:c r="K47" s="42"/>
      <x:c r="L47" s="50" t="str">
        <x:f>IF(A47="","",I47+J47+IF(K47="Yes",Settings!$B$11,0))</x:f>
      </x:c>
      <x:c r="M47" s="50" t="str">
        <x:f>IF(A47="","",1-1/(1+L47))</x:f>
      </x:c>
      <x:c r="N47" s="73" t="str">
        <x:f>IF(A47="","",SUMIFS('Recipe Lines'!$N$5:$N$504,'Recipe Lines'!$A$5:$A$504,A47,'Recipe Lines'!$H$5:$H$504,"Yes"))</x:f>
      </x:c>
      <x:c r="O47" s="73" t="str">
        <x:f>IF(A47="","",SUMIFS('Recipe Lines'!$N$5:$N$504,'Recipe Lines'!$A$5:$A$504,A47,'Recipe Lines'!$H$5:$H$504,"No"))</x:f>
      </x:c>
      <x:c r="P47" s="73" t="str">
        <x:f>IF(A47="","",N47*(1-M47)+O47)</x:f>
      </x:c>
      <x:c r="Q47" s="46"/>
      <x:c r="R47" s="72"/>
      <x:c r="S47" s="73" t="str">
        <x:f>IF(A47="","",R47*0.1125*Q47)</x:f>
      </x:c>
      <x:c r="T47" s="72"/>
      <x:c r="U47" s="73" t="str">
        <x:f>IF(A47="","",IF(H47&gt;0,H47,IF(F47="Sell Order",SUMIFS('Market Data'!$E$5:$E$504,'Market Data'!$A$5:$A$504,E47,'Market Data'!$B$5:$B$504,B47,'Market Data'!$D$5:$D$504,G47),SUMIFS('Market Data'!$F$5:$F$504,'Market Data'!$A$5:$A$504,E47,'Market Data'!$B$5:$B$504,B47,'Market Data'!$D$5:$D$504,G47))))</x:f>
      </x:c>
      <x:c r="V47" s="73" t="str">
        <x:f>IF(A47="","",U47*D47)</x:f>
      </x:c>
      <x:c r="W47" s="73" t="str">
        <x:f>IF(A47="","",V47*(Settings!$B$19+IF(F47="Sell Order",Settings!$B$13,0)))</x:f>
      </x:c>
      <x:c r="X47" s="73" t="str">
        <x:f>IF(A47="","",V47-W47+T47)</x:f>
      </x:c>
      <x:c r="Y47" s="73" t="str">
        <x:f>IF(A47="","",X47-P47-S47)</x:f>
      </x:c>
      <x:c r="Z47" s="50" t="str">
        <x:f>IF(A47="","",IF(V47=0,0,Y47/V47))</x:f>
      </x:c>
      <x:c r="AA47" s="72"/>
      <x:c r="AB47" s="68"/>
      <x:c r="AC47" s="73" t="str">
        <x:f>IF(A47="","",IF(K47="Yes",AA47*POWER(0.5,AB47/10000),0))</x:f>
      </x:c>
      <x:c r="AD47" s="73" t="str">
        <x:f>IF(A47="","",IF(K47="Yes",N47*((1-1/(1+I47+J47+Settings!$B$11))-(1-1/(1+I47+J47))),0))</x:f>
      </x:c>
      <x:c r="AE47" s="73" t="str">
        <x:f>IF(A47="","",IF(AC47&gt;0,AD47/AC47,0))</x:f>
      </x:c>
      <x:c r="AF47" s="73" t="str">
        <x:f>IF(A47="","",IF(D47=0,0,MAX(0,(P47+S47-T47)/(D47*(1-(Settings!$B$19+IF(F47="Sell Order",Settings!$B$13,0)))))))</x:f>
      </x:c>
      <x:c r="AG47" s="50" t="str">
        <x:f>IF(A47="","",IF(P47+S47=0,0,Y47/(P47+S47)))</x:f>
      </x:c>
      <x:c r="AH47" s="48" t="str">
        <x:f>IF(A47="","",IF(Y47&gt;0,"PROFIT",IF(Y47&lt;0,"LOSS","BREAK-EVEN")))</x:f>
      </x:c>
    </x:row>
    <x:row r="48">
      <x:c r="A48" s="42"/>
      <x:c r="B48" s="42"/>
      <x:c r="C48" s="42"/>
      <x:c r="D48" s="42"/>
      <x:c r="E48" s="42"/>
      <x:c r="F48" s="42"/>
      <x:c r="G48" s="42"/>
      <x:c r="H48" s="72"/>
      <x:c r="I48" s="76"/>
      <x:c r="J48" s="76"/>
      <x:c r="K48" s="42"/>
      <x:c r="L48" s="50" t="str">
        <x:f>IF(A48="","",I48+J48+IF(K48="Yes",Settings!$B$11,0))</x:f>
      </x:c>
      <x:c r="M48" s="50" t="str">
        <x:f>IF(A48="","",1-1/(1+L48))</x:f>
      </x:c>
      <x:c r="N48" s="73" t="str">
        <x:f>IF(A48="","",SUMIFS('Recipe Lines'!$N$5:$N$504,'Recipe Lines'!$A$5:$A$504,A48,'Recipe Lines'!$H$5:$H$504,"Yes"))</x:f>
      </x:c>
      <x:c r="O48" s="73" t="str">
        <x:f>IF(A48="","",SUMIFS('Recipe Lines'!$N$5:$N$504,'Recipe Lines'!$A$5:$A$504,A48,'Recipe Lines'!$H$5:$H$504,"No"))</x:f>
      </x:c>
      <x:c r="P48" s="73" t="str">
        <x:f>IF(A48="","",N48*(1-M48)+O48)</x:f>
      </x:c>
      <x:c r="Q48" s="46"/>
      <x:c r="R48" s="72"/>
      <x:c r="S48" s="73" t="str">
        <x:f>IF(A48="","",R48*0.1125*Q48)</x:f>
      </x:c>
      <x:c r="T48" s="72"/>
      <x:c r="U48" s="73" t="str">
        <x:f>IF(A48="","",IF(H48&gt;0,H48,IF(F48="Sell Order",SUMIFS('Market Data'!$E$5:$E$504,'Market Data'!$A$5:$A$504,E48,'Market Data'!$B$5:$B$504,B48,'Market Data'!$D$5:$D$504,G48),SUMIFS('Market Data'!$F$5:$F$504,'Market Data'!$A$5:$A$504,E48,'Market Data'!$B$5:$B$504,B48,'Market Data'!$D$5:$D$504,G48))))</x:f>
      </x:c>
      <x:c r="V48" s="73" t="str">
        <x:f>IF(A48="","",U48*D48)</x:f>
      </x:c>
      <x:c r="W48" s="73" t="str">
        <x:f>IF(A48="","",V48*(Settings!$B$19+IF(F48="Sell Order",Settings!$B$13,0)))</x:f>
      </x:c>
      <x:c r="X48" s="73" t="str">
        <x:f>IF(A48="","",V48-W48+T48)</x:f>
      </x:c>
      <x:c r="Y48" s="73" t="str">
        <x:f>IF(A48="","",X48-P48-S48)</x:f>
      </x:c>
      <x:c r="Z48" s="50" t="str">
        <x:f>IF(A48="","",IF(V48=0,0,Y48/V48))</x:f>
      </x:c>
      <x:c r="AA48" s="72"/>
      <x:c r="AB48" s="68"/>
      <x:c r="AC48" s="73" t="str">
        <x:f>IF(A48="","",IF(K48="Yes",AA48*POWER(0.5,AB48/10000),0))</x:f>
      </x:c>
      <x:c r="AD48" s="73" t="str">
        <x:f>IF(A48="","",IF(K48="Yes",N48*((1-1/(1+I48+J48+Settings!$B$11))-(1-1/(1+I48+J48))),0))</x:f>
      </x:c>
      <x:c r="AE48" s="73" t="str">
        <x:f>IF(A48="","",IF(AC48&gt;0,AD48/AC48,0))</x:f>
      </x:c>
      <x:c r="AF48" s="73" t="str">
        <x:f>IF(A48="","",IF(D48=0,0,MAX(0,(P48+S48-T48)/(D48*(1-(Settings!$B$19+IF(F48="Sell Order",Settings!$B$13,0)))))))</x:f>
      </x:c>
      <x:c r="AG48" s="50" t="str">
        <x:f>IF(A48="","",IF(P48+S48=0,0,Y48/(P48+S48)))</x:f>
      </x:c>
      <x:c r="AH48" s="48" t="str">
        <x:f>IF(A48="","",IF(Y48&gt;0,"PROFIT",IF(Y48&lt;0,"LOSS","BREAK-EVEN")))</x:f>
      </x:c>
    </x:row>
    <x:row r="49">
      <x:c r="A49" s="42"/>
      <x:c r="B49" s="42"/>
      <x:c r="C49" s="42"/>
      <x:c r="D49" s="42"/>
      <x:c r="E49" s="42"/>
      <x:c r="F49" s="42"/>
      <x:c r="G49" s="42"/>
      <x:c r="H49" s="72"/>
      <x:c r="I49" s="76"/>
      <x:c r="J49" s="76"/>
      <x:c r="K49" s="42"/>
      <x:c r="L49" s="50" t="str">
        <x:f>IF(A49="","",I49+J49+IF(K49="Yes",Settings!$B$11,0))</x:f>
      </x:c>
      <x:c r="M49" s="50" t="str">
        <x:f>IF(A49="","",1-1/(1+L49))</x:f>
      </x:c>
      <x:c r="N49" s="73" t="str">
        <x:f>IF(A49="","",SUMIFS('Recipe Lines'!$N$5:$N$504,'Recipe Lines'!$A$5:$A$504,A49,'Recipe Lines'!$H$5:$H$504,"Yes"))</x:f>
      </x:c>
      <x:c r="O49" s="73" t="str">
        <x:f>IF(A49="","",SUMIFS('Recipe Lines'!$N$5:$N$504,'Recipe Lines'!$A$5:$A$504,A49,'Recipe Lines'!$H$5:$H$504,"No"))</x:f>
      </x:c>
      <x:c r="P49" s="73" t="str">
        <x:f>IF(A49="","",N49*(1-M49)+O49)</x:f>
      </x:c>
      <x:c r="Q49" s="46"/>
      <x:c r="R49" s="72"/>
      <x:c r="S49" s="73" t="str">
        <x:f>IF(A49="","",R49*0.1125*Q49)</x:f>
      </x:c>
      <x:c r="T49" s="72"/>
      <x:c r="U49" s="73" t="str">
        <x:f>IF(A49="","",IF(H49&gt;0,H49,IF(F49="Sell Order",SUMIFS('Market Data'!$E$5:$E$504,'Market Data'!$A$5:$A$504,E49,'Market Data'!$B$5:$B$504,B49,'Market Data'!$D$5:$D$504,G49),SUMIFS('Market Data'!$F$5:$F$504,'Market Data'!$A$5:$A$504,E49,'Market Data'!$B$5:$B$504,B49,'Market Data'!$D$5:$D$504,G49))))</x:f>
      </x:c>
      <x:c r="V49" s="73" t="str">
        <x:f>IF(A49="","",U49*D49)</x:f>
      </x:c>
      <x:c r="W49" s="73" t="str">
        <x:f>IF(A49="","",V49*(Settings!$B$19+IF(F49="Sell Order",Settings!$B$13,0)))</x:f>
      </x:c>
      <x:c r="X49" s="73" t="str">
        <x:f>IF(A49="","",V49-W49+T49)</x:f>
      </x:c>
      <x:c r="Y49" s="73" t="str">
        <x:f>IF(A49="","",X49-P49-S49)</x:f>
      </x:c>
      <x:c r="Z49" s="50" t="str">
        <x:f>IF(A49="","",IF(V49=0,0,Y49/V49))</x:f>
      </x:c>
      <x:c r="AA49" s="72"/>
      <x:c r="AB49" s="68"/>
      <x:c r="AC49" s="73" t="str">
        <x:f>IF(A49="","",IF(K49="Yes",AA49*POWER(0.5,AB49/10000),0))</x:f>
      </x:c>
      <x:c r="AD49" s="73" t="str">
        <x:f>IF(A49="","",IF(K49="Yes",N49*((1-1/(1+I49+J49+Settings!$B$11))-(1-1/(1+I49+J49))),0))</x:f>
      </x:c>
      <x:c r="AE49" s="73" t="str">
        <x:f>IF(A49="","",IF(AC49&gt;0,AD49/AC49,0))</x:f>
      </x:c>
      <x:c r="AF49" s="73" t="str">
        <x:f>IF(A49="","",IF(D49=0,0,MAX(0,(P49+S49-T49)/(D49*(1-(Settings!$B$19+IF(F49="Sell Order",Settings!$B$13,0)))))))</x:f>
      </x:c>
      <x:c r="AG49" s="50" t="str">
        <x:f>IF(A49="","",IF(P49+S49=0,0,Y49/(P49+S49)))</x:f>
      </x:c>
      <x:c r="AH49" s="48" t="str">
        <x:f>IF(A49="","",IF(Y49&gt;0,"PROFIT",IF(Y49&lt;0,"LOSS","BREAK-EVEN")))</x:f>
      </x:c>
    </x:row>
    <x:row r="50">
      <x:c r="A50" s="42"/>
      <x:c r="B50" s="42"/>
      <x:c r="C50" s="42"/>
      <x:c r="D50" s="42"/>
      <x:c r="E50" s="42"/>
      <x:c r="F50" s="42"/>
      <x:c r="G50" s="42"/>
      <x:c r="H50" s="72"/>
      <x:c r="I50" s="76"/>
      <x:c r="J50" s="76"/>
      <x:c r="K50" s="42"/>
      <x:c r="L50" s="50" t="str">
        <x:f>IF(A50="","",I50+J50+IF(K50="Yes",Settings!$B$11,0))</x:f>
      </x:c>
      <x:c r="M50" s="50" t="str">
        <x:f>IF(A50="","",1-1/(1+L50))</x:f>
      </x:c>
      <x:c r="N50" s="73" t="str">
        <x:f>IF(A50="","",SUMIFS('Recipe Lines'!$N$5:$N$504,'Recipe Lines'!$A$5:$A$504,A50,'Recipe Lines'!$H$5:$H$504,"Yes"))</x:f>
      </x:c>
      <x:c r="O50" s="73" t="str">
        <x:f>IF(A50="","",SUMIFS('Recipe Lines'!$N$5:$N$504,'Recipe Lines'!$A$5:$A$504,A50,'Recipe Lines'!$H$5:$H$504,"No"))</x:f>
      </x:c>
      <x:c r="P50" s="73" t="str">
        <x:f>IF(A50="","",N50*(1-M50)+O50)</x:f>
      </x:c>
      <x:c r="Q50" s="46"/>
      <x:c r="R50" s="72"/>
      <x:c r="S50" s="73" t="str">
        <x:f>IF(A50="","",R50*0.1125*Q50)</x:f>
      </x:c>
      <x:c r="T50" s="72"/>
      <x:c r="U50" s="73" t="str">
        <x:f>IF(A50="","",IF(H50&gt;0,H50,IF(F50="Sell Order",SUMIFS('Market Data'!$E$5:$E$504,'Market Data'!$A$5:$A$504,E50,'Market Data'!$B$5:$B$504,B50,'Market Data'!$D$5:$D$504,G50),SUMIFS('Market Data'!$F$5:$F$504,'Market Data'!$A$5:$A$504,E50,'Market Data'!$B$5:$B$504,B50,'Market Data'!$D$5:$D$504,G50))))</x:f>
      </x:c>
      <x:c r="V50" s="73" t="str">
        <x:f>IF(A50="","",U50*D50)</x:f>
      </x:c>
      <x:c r="W50" s="73" t="str">
        <x:f>IF(A50="","",V50*(Settings!$B$19+IF(F50="Sell Order",Settings!$B$13,0)))</x:f>
      </x:c>
      <x:c r="X50" s="73" t="str">
        <x:f>IF(A50="","",V50-W50+T50)</x:f>
      </x:c>
      <x:c r="Y50" s="73" t="str">
        <x:f>IF(A50="","",X50-P50-S50)</x:f>
      </x:c>
      <x:c r="Z50" s="50" t="str">
        <x:f>IF(A50="","",IF(V50=0,0,Y50/V50))</x:f>
      </x:c>
      <x:c r="AA50" s="72"/>
      <x:c r="AB50" s="68"/>
      <x:c r="AC50" s="73" t="str">
        <x:f>IF(A50="","",IF(K50="Yes",AA50*POWER(0.5,AB50/10000),0))</x:f>
      </x:c>
      <x:c r="AD50" s="73" t="str">
        <x:f>IF(A50="","",IF(K50="Yes",N50*((1-1/(1+I50+J50+Settings!$B$11))-(1-1/(1+I50+J50))),0))</x:f>
      </x:c>
      <x:c r="AE50" s="73" t="str">
        <x:f>IF(A50="","",IF(AC50&gt;0,AD50/AC50,0))</x:f>
      </x:c>
      <x:c r="AF50" s="73" t="str">
        <x:f>IF(A50="","",IF(D50=0,0,MAX(0,(P50+S50-T50)/(D50*(1-(Settings!$B$19+IF(F50="Sell Order",Settings!$B$13,0)))))))</x:f>
      </x:c>
      <x:c r="AG50" s="50" t="str">
        <x:f>IF(A50="","",IF(P50+S50=0,0,Y50/(P50+S50)))</x:f>
      </x:c>
      <x:c r="AH50" s="48" t="str">
        <x:f>IF(A50="","",IF(Y50&gt;0,"PROFIT",IF(Y50&lt;0,"LOSS","BREAK-EVEN")))</x:f>
      </x:c>
    </x:row>
    <x:row r="51">
      <x:c r="A51" s="42"/>
      <x:c r="B51" s="42"/>
      <x:c r="C51" s="42"/>
      <x:c r="D51" s="42"/>
      <x:c r="E51" s="42"/>
      <x:c r="F51" s="42"/>
      <x:c r="G51" s="42"/>
      <x:c r="H51" s="72"/>
      <x:c r="I51" s="76"/>
      <x:c r="J51" s="76"/>
      <x:c r="K51" s="42"/>
      <x:c r="L51" s="50" t="str">
        <x:f>IF(A51="","",I51+J51+IF(K51="Yes",Settings!$B$11,0))</x:f>
      </x:c>
      <x:c r="M51" s="50" t="str">
        <x:f>IF(A51="","",1-1/(1+L51))</x:f>
      </x:c>
      <x:c r="N51" s="73" t="str">
        <x:f>IF(A51="","",SUMIFS('Recipe Lines'!$N$5:$N$504,'Recipe Lines'!$A$5:$A$504,A51,'Recipe Lines'!$H$5:$H$504,"Yes"))</x:f>
      </x:c>
      <x:c r="O51" s="73" t="str">
        <x:f>IF(A51="","",SUMIFS('Recipe Lines'!$N$5:$N$504,'Recipe Lines'!$A$5:$A$504,A51,'Recipe Lines'!$H$5:$H$504,"No"))</x:f>
      </x:c>
      <x:c r="P51" s="73" t="str">
        <x:f>IF(A51="","",N51*(1-M51)+O51)</x:f>
      </x:c>
      <x:c r="Q51" s="46"/>
      <x:c r="R51" s="72"/>
      <x:c r="S51" s="73" t="str">
        <x:f>IF(A51="","",R51*0.1125*Q51)</x:f>
      </x:c>
      <x:c r="T51" s="72"/>
      <x:c r="U51" s="73" t="str">
        <x:f>IF(A51="","",IF(H51&gt;0,H51,IF(F51="Sell Order",SUMIFS('Market Data'!$E$5:$E$504,'Market Data'!$A$5:$A$504,E51,'Market Data'!$B$5:$B$504,B51,'Market Data'!$D$5:$D$504,G51),SUMIFS('Market Data'!$F$5:$F$504,'Market Data'!$A$5:$A$504,E51,'Market Data'!$B$5:$B$504,B51,'Market Data'!$D$5:$D$504,G51))))</x:f>
      </x:c>
      <x:c r="V51" s="73" t="str">
        <x:f>IF(A51="","",U51*D51)</x:f>
      </x:c>
      <x:c r="W51" s="73" t="str">
        <x:f>IF(A51="","",V51*(Settings!$B$19+IF(F51="Sell Order",Settings!$B$13,0)))</x:f>
      </x:c>
      <x:c r="X51" s="73" t="str">
        <x:f>IF(A51="","",V51-W51+T51)</x:f>
      </x:c>
      <x:c r="Y51" s="73" t="str">
        <x:f>IF(A51="","",X51-P51-S51)</x:f>
      </x:c>
      <x:c r="Z51" s="50" t="str">
        <x:f>IF(A51="","",IF(V51=0,0,Y51/V51))</x:f>
      </x:c>
      <x:c r="AA51" s="72"/>
      <x:c r="AB51" s="68"/>
      <x:c r="AC51" s="73" t="str">
        <x:f>IF(A51="","",IF(K51="Yes",AA51*POWER(0.5,AB51/10000),0))</x:f>
      </x:c>
      <x:c r="AD51" s="73" t="str">
        <x:f>IF(A51="","",IF(K51="Yes",N51*((1-1/(1+I51+J51+Settings!$B$11))-(1-1/(1+I51+J51))),0))</x:f>
      </x:c>
      <x:c r="AE51" s="73" t="str">
        <x:f>IF(A51="","",IF(AC51&gt;0,AD51/AC51,0))</x:f>
      </x:c>
      <x:c r="AF51" s="73" t="str">
        <x:f>IF(A51="","",IF(D51=0,0,MAX(0,(P51+S51-T51)/(D51*(1-(Settings!$B$19+IF(F51="Sell Order",Settings!$B$13,0)))))))</x:f>
      </x:c>
      <x:c r="AG51" s="50" t="str">
        <x:f>IF(A51="","",IF(P51+S51=0,0,Y51/(P51+S51)))</x:f>
      </x:c>
      <x:c r="AH51" s="48" t="str">
        <x:f>IF(A51="","",IF(Y51&gt;0,"PROFIT",IF(Y51&lt;0,"LOSS","BREAK-EVEN")))</x:f>
      </x:c>
    </x:row>
    <x:row r="52">
      <x:c r="A52" s="42"/>
      <x:c r="B52" s="42"/>
      <x:c r="C52" s="42"/>
      <x:c r="D52" s="42"/>
      <x:c r="E52" s="42"/>
      <x:c r="F52" s="42"/>
      <x:c r="G52" s="42"/>
      <x:c r="H52" s="72"/>
      <x:c r="I52" s="76"/>
      <x:c r="J52" s="76"/>
      <x:c r="K52" s="42"/>
      <x:c r="L52" s="50" t="str">
        <x:f>IF(A52="","",I52+J52+IF(K52="Yes",Settings!$B$11,0))</x:f>
      </x:c>
      <x:c r="M52" s="50" t="str">
        <x:f>IF(A52="","",1-1/(1+L52))</x:f>
      </x:c>
      <x:c r="N52" s="73" t="str">
        <x:f>IF(A52="","",SUMIFS('Recipe Lines'!$N$5:$N$504,'Recipe Lines'!$A$5:$A$504,A52,'Recipe Lines'!$H$5:$H$504,"Yes"))</x:f>
      </x:c>
      <x:c r="O52" s="73" t="str">
        <x:f>IF(A52="","",SUMIFS('Recipe Lines'!$N$5:$N$504,'Recipe Lines'!$A$5:$A$504,A52,'Recipe Lines'!$H$5:$H$504,"No"))</x:f>
      </x:c>
      <x:c r="P52" s="73" t="str">
        <x:f>IF(A52="","",N52*(1-M52)+O52)</x:f>
      </x:c>
      <x:c r="Q52" s="46"/>
      <x:c r="R52" s="72"/>
      <x:c r="S52" s="73" t="str">
        <x:f>IF(A52="","",R52*0.1125*Q52)</x:f>
      </x:c>
      <x:c r="T52" s="72"/>
      <x:c r="U52" s="73" t="str">
        <x:f>IF(A52="","",IF(H52&gt;0,H52,IF(F52="Sell Order",SUMIFS('Market Data'!$E$5:$E$504,'Market Data'!$A$5:$A$504,E52,'Market Data'!$B$5:$B$504,B52,'Market Data'!$D$5:$D$504,G52),SUMIFS('Market Data'!$F$5:$F$504,'Market Data'!$A$5:$A$504,E52,'Market Data'!$B$5:$B$504,B52,'Market Data'!$D$5:$D$504,G52))))</x:f>
      </x:c>
      <x:c r="V52" s="73" t="str">
        <x:f>IF(A52="","",U52*D52)</x:f>
      </x:c>
      <x:c r="W52" s="73" t="str">
        <x:f>IF(A52="","",V52*(Settings!$B$19+IF(F52="Sell Order",Settings!$B$13,0)))</x:f>
      </x:c>
      <x:c r="X52" s="73" t="str">
        <x:f>IF(A52="","",V52-W52+T52)</x:f>
      </x:c>
      <x:c r="Y52" s="73" t="str">
        <x:f>IF(A52="","",X52-P52-S52)</x:f>
      </x:c>
      <x:c r="Z52" s="50" t="str">
        <x:f>IF(A52="","",IF(V52=0,0,Y52/V52))</x:f>
      </x:c>
      <x:c r="AA52" s="72"/>
      <x:c r="AB52" s="68"/>
      <x:c r="AC52" s="73" t="str">
        <x:f>IF(A52="","",IF(K52="Yes",AA52*POWER(0.5,AB52/10000),0))</x:f>
      </x:c>
      <x:c r="AD52" s="73" t="str">
        <x:f>IF(A52="","",IF(K52="Yes",N52*((1-1/(1+I52+J52+Settings!$B$11))-(1-1/(1+I52+J52))),0))</x:f>
      </x:c>
      <x:c r="AE52" s="73" t="str">
        <x:f>IF(A52="","",IF(AC52&gt;0,AD52/AC52,0))</x:f>
      </x:c>
      <x:c r="AF52" s="73" t="str">
        <x:f>IF(A52="","",IF(D52=0,0,MAX(0,(P52+S52-T52)/(D52*(1-(Settings!$B$19+IF(F52="Sell Order",Settings!$B$13,0)))))))</x:f>
      </x:c>
      <x:c r="AG52" s="50" t="str">
        <x:f>IF(A52="","",IF(P52+S52=0,0,Y52/(P52+S52)))</x:f>
      </x:c>
      <x:c r="AH52" s="48" t="str">
        <x:f>IF(A52="","",IF(Y52&gt;0,"PROFIT",IF(Y52&lt;0,"LOSS","BREAK-EVEN")))</x:f>
      </x:c>
    </x:row>
    <x:row r="53">
      <x:c r="A53" s="42"/>
      <x:c r="B53" s="42"/>
      <x:c r="C53" s="42"/>
      <x:c r="D53" s="42"/>
      <x:c r="E53" s="42"/>
      <x:c r="F53" s="42"/>
      <x:c r="G53" s="42"/>
      <x:c r="H53" s="72"/>
      <x:c r="I53" s="76"/>
      <x:c r="J53" s="76"/>
      <x:c r="K53" s="42"/>
      <x:c r="L53" s="50" t="str">
        <x:f>IF(A53="","",I53+J53+IF(K53="Yes",Settings!$B$11,0))</x:f>
      </x:c>
      <x:c r="M53" s="50" t="str">
        <x:f>IF(A53="","",1-1/(1+L53))</x:f>
      </x:c>
      <x:c r="N53" s="73" t="str">
        <x:f>IF(A53="","",SUMIFS('Recipe Lines'!$N$5:$N$504,'Recipe Lines'!$A$5:$A$504,A53,'Recipe Lines'!$H$5:$H$504,"Yes"))</x:f>
      </x:c>
      <x:c r="O53" s="73" t="str">
        <x:f>IF(A53="","",SUMIFS('Recipe Lines'!$N$5:$N$504,'Recipe Lines'!$A$5:$A$504,A53,'Recipe Lines'!$H$5:$H$504,"No"))</x:f>
      </x:c>
      <x:c r="P53" s="73" t="str">
        <x:f>IF(A53="","",N53*(1-M53)+O53)</x:f>
      </x:c>
      <x:c r="Q53" s="46"/>
      <x:c r="R53" s="72"/>
      <x:c r="S53" s="73" t="str">
        <x:f>IF(A53="","",R53*0.1125*Q53)</x:f>
      </x:c>
      <x:c r="T53" s="72"/>
      <x:c r="U53" s="73" t="str">
        <x:f>IF(A53="","",IF(H53&gt;0,H53,IF(F53="Sell Order",SUMIFS('Market Data'!$E$5:$E$504,'Market Data'!$A$5:$A$504,E53,'Market Data'!$B$5:$B$504,B53,'Market Data'!$D$5:$D$504,G53),SUMIFS('Market Data'!$F$5:$F$504,'Market Data'!$A$5:$A$504,E53,'Market Data'!$B$5:$B$504,B53,'Market Data'!$D$5:$D$504,G53))))</x:f>
      </x:c>
      <x:c r="V53" s="73" t="str">
        <x:f>IF(A53="","",U53*D53)</x:f>
      </x:c>
      <x:c r="W53" s="73" t="str">
        <x:f>IF(A53="","",V53*(Settings!$B$19+IF(F53="Sell Order",Settings!$B$13,0)))</x:f>
      </x:c>
      <x:c r="X53" s="73" t="str">
        <x:f>IF(A53="","",V53-W53+T53)</x:f>
      </x:c>
      <x:c r="Y53" s="73" t="str">
        <x:f>IF(A53="","",X53-P53-S53)</x:f>
      </x:c>
      <x:c r="Z53" s="50" t="str">
        <x:f>IF(A53="","",IF(V53=0,0,Y53/V53))</x:f>
      </x:c>
      <x:c r="AA53" s="72"/>
      <x:c r="AB53" s="68"/>
      <x:c r="AC53" s="73" t="str">
        <x:f>IF(A53="","",IF(K53="Yes",AA53*POWER(0.5,AB53/10000),0))</x:f>
      </x:c>
      <x:c r="AD53" s="73" t="str">
        <x:f>IF(A53="","",IF(K53="Yes",N53*((1-1/(1+I53+J53+Settings!$B$11))-(1-1/(1+I53+J53))),0))</x:f>
      </x:c>
      <x:c r="AE53" s="73" t="str">
        <x:f>IF(A53="","",IF(AC53&gt;0,AD53/AC53,0))</x:f>
      </x:c>
      <x:c r="AF53" s="73" t="str">
        <x:f>IF(A53="","",IF(D53=0,0,MAX(0,(P53+S53-T53)/(D53*(1-(Settings!$B$19+IF(F53="Sell Order",Settings!$B$13,0)))))))</x:f>
      </x:c>
      <x:c r="AG53" s="50" t="str">
        <x:f>IF(A53="","",IF(P53+S53=0,0,Y53/(P53+S53)))</x:f>
      </x:c>
      <x:c r="AH53" s="48" t="str">
        <x:f>IF(A53="","",IF(Y53&gt;0,"PROFIT",IF(Y53&lt;0,"LOSS","BREAK-EVEN")))</x:f>
      </x:c>
    </x:row>
    <x:row r="54">
      <x:c r="A54" s="42"/>
      <x:c r="B54" s="42"/>
      <x:c r="C54" s="42"/>
      <x:c r="D54" s="42"/>
      <x:c r="E54" s="42"/>
      <x:c r="F54" s="42"/>
      <x:c r="G54" s="42"/>
      <x:c r="H54" s="72"/>
      <x:c r="I54" s="76"/>
      <x:c r="J54" s="76"/>
      <x:c r="K54" s="42"/>
      <x:c r="L54" s="50" t="str">
        <x:f>IF(A54="","",I54+J54+IF(K54="Yes",Settings!$B$11,0))</x:f>
      </x:c>
      <x:c r="M54" s="50" t="str">
        <x:f>IF(A54="","",1-1/(1+L54))</x:f>
      </x:c>
      <x:c r="N54" s="73" t="str">
        <x:f>IF(A54="","",SUMIFS('Recipe Lines'!$N$5:$N$504,'Recipe Lines'!$A$5:$A$504,A54,'Recipe Lines'!$H$5:$H$504,"Yes"))</x:f>
      </x:c>
      <x:c r="O54" s="73" t="str">
        <x:f>IF(A54="","",SUMIFS('Recipe Lines'!$N$5:$N$504,'Recipe Lines'!$A$5:$A$504,A54,'Recipe Lines'!$H$5:$H$504,"No"))</x:f>
      </x:c>
      <x:c r="P54" s="73" t="str">
        <x:f>IF(A54="","",N54*(1-M54)+O54)</x:f>
      </x:c>
      <x:c r="Q54" s="46"/>
      <x:c r="R54" s="72"/>
      <x:c r="S54" s="73" t="str">
        <x:f>IF(A54="","",R54*0.1125*Q54)</x:f>
      </x:c>
      <x:c r="T54" s="72"/>
      <x:c r="U54" s="73" t="str">
        <x:f>IF(A54="","",IF(H54&gt;0,H54,IF(F54="Sell Order",SUMIFS('Market Data'!$E$5:$E$504,'Market Data'!$A$5:$A$504,E54,'Market Data'!$B$5:$B$504,B54,'Market Data'!$D$5:$D$504,G54),SUMIFS('Market Data'!$F$5:$F$504,'Market Data'!$A$5:$A$504,E54,'Market Data'!$B$5:$B$504,B54,'Market Data'!$D$5:$D$504,G54))))</x:f>
      </x:c>
      <x:c r="V54" s="73" t="str">
        <x:f>IF(A54="","",U54*D54)</x:f>
      </x:c>
      <x:c r="W54" s="73" t="str">
        <x:f>IF(A54="","",V54*(Settings!$B$19+IF(F54="Sell Order",Settings!$B$13,0)))</x:f>
      </x:c>
      <x:c r="X54" s="73" t="str">
        <x:f>IF(A54="","",V54-W54+T54)</x:f>
      </x:c>
      <x:c r="Y54" s="73" t="str">
        <x:f>IF(A54="","",X54-P54-S54)</x:f>
      </x:c>
      <x:c r="Z54" s="50" t="str">
        <x:f>IF(A54="","",IF(V54=0,0,Y54/V54))</x:f>
      </x:c>
      <x:c r="AA54" s="72"/>
      <x:c r="AB54" s="68"/>
      <x:c r="AC54" s="73" t="str">
        <x:f>IF(A54="","",IF(K54="Yes",AA54*POWER(0.5,AB54/10000),0))</x:f>
      </x:c>
      <x:c r="AD54" s="73" t="str">
        <x:f>IF(A54="","",IF(K54="Yes",N54*((1-1/(1+I54+J54+Settings!$B$11))-(1-1/(1+I54+J54))),0))</x:f>
      </x:c>
      <x:c r="AE54" s="73" t="str">
        <x:f>IF(A54="","",IF(AC54&gt;0,AD54/AC54,0))</x:f>
      </x:c>
      <x:c r="AF54" s="73" t="str">
        <x:f>IF(A54="","",IF(D54=0,0,MAX(0,(P54+S54-T54)/(D54*(1-(Settings!$B$19+IF(F54="Sell Order",Settings!$B$13,0)))))))</x:f>
      </x:c>
      <x:c r="AG54" s="50" t="str">
        <x:f>IF(A54="","",IF(P54+S54=0,0,Y54/(P54+S54)))</x:f>
      </x:c>
      <x:c r="AH54" s="48" t="str">
        <x:f>IF(A54="","",IF(Y54&gt;0,"PROFIT",IF(Y54&lt;0,"LOSS","BREAK-EVEN")))</x:f>
      </x:c>
    </x:row>
    <x:row r="55">
      <x:c r="A55" s="42"/>
      <x:c r="B55" s="42"/>
      <x:c r="C55" s="42"/>
      <x:c r="D55" s="42"/>
      <x:c r="E55" s="42"/>
      <x:c r="F55" s="42"/>
      <x:c r="G55" s="42"/>
      <x:c r="H55" s="72"/>
      <x:c r="I55" s="76"/>
      <x:c r="J55" s="76"/>
      <x:c r="K55" s="42"/>
      <x:c r="L55" s="50" t="str">
        <x:f>IF(A55="","",I55+J55+IF(K55="Yes",Settings!$B$11,0))</x:f>
      </x:c>
      <x:c r="M55" s="50" t="str">
        <x:f>IF(A55="","",1-1/(1+L55))</x:f>
      </x:c>
      <x:c r="N55" s="73" t="str">
        <x:f>IF(A55="","",SUMIFS('Recipe Lines'!$N$5:$N$504,'Recipe Lines'!$A$5:$A$504,A55,'Recipe Lines'!$H$5:$H$504,"Yes"))</x:f>
      </x:c>
      <x:c r="O55" s="73" t="str">
        <x:f>IF(A55="","",SUMIFS('Recipe Lines'!$N$5:$N$504,'Recipe Lines'!$A$5:$A$504,A55,'Recipe Lines'!$H$5:$H$504,"No"))</x:f>
      </x:c>
      <x:c r="P55" s="73" t="str">
        <x:f>IF(A55="","",N55*(1-M55)+O55)</x:f>
      </x:c>
      <x:c r="Q55" s="46"/>
      <x:c r="R55" s="72"/>
      <x:c r="S55" s="73" t="str">
        <x:f>IF(A55="","",R55*0.1125*Q55)</x:f>
      </x:c>
      <x:c r="T55" s="72"/>
      <x:c r="U55" s="73" t="str">
        <x:f>IF(A55="","",IF(H55&gt;0,H55,IF(F55="Sell Order",SUMIFS('Market Data'!$E$5:$E$504,'Market Data'!$A$5:$A$504,E55,'Market Data'!$B$5:$B$504,B55,'Market Data'!$D$5:$D$504,G55),SUMIFS('Market Data'!$F$5:$F$504,'Market Data'!$A$5:$A$504,E55,'Market Data'!$B$5:$B$504,B55,'Market Data'!$D$5:$D$504,G55))))</x:f>
      </x:c>
      <x:c r="V55" s="73" t="str">
        <x:f>IF(A55="","",U55*D55)</x:f>
      </x:c>
      <x:c r="W55" s="73" t="str">
        <x:f>IF(A55="","",V55*(Settings!$B$19+IF(F55="Sell Order",Settings!$B$13,0)))</x:f>
      </x:c>
      <x:c r="X55" s="73" t="str">
        <x:f>IF(A55="","",V55-W55+T55)</x:f>
      </x:c>
      <x:c r="Y55" s="73" t="str">
        <x:f>IF(A55="","",X55-P55-S55)</x:f>
      </x:c>
      <x:c r="Z55" s="50" t="str">
        <x:f>IF(A55="","",IF(V55=0,0,Y55/V55))</x:f>
      </x:c>
      <x:c r="AA55" s="72"/>
      <x:c r="AB55" s="68"/>
      <x:c r="AC55" s="73" t="str">
        <x:f>IF(A55="","",IF(K55="Yes",AA55*POWER(0.5,AB55/10000),0))</x:f>
      </x:c>
      <x:c r="AD55" s="73" t="str">
        <x:f>IF(A55="","",IF(K55="Yes",N55*((1-1/(1+I55+J55+Settings!$B$11))-(1-1/(1+I55+J55))),0))</x:f>
      </x:c>
      <x:c r="AE55" s="73" t="str">
        <x:f>IF(A55="","",IF(AC55&gt;0,AD55/AC55,0))</x:f>
      </x:c>
      <x:c r="AF55" s="73" t="str">
        <x:f>IF(A55="","",IF(D55=0,0,MAX(0,(P55+S55-T55)/(D55*(1-(Settings!$B$19+IF(F55="Sell Order",Settings!$B$13,0)))))))</x:f>
      </x:c>
      <x:c r="AG55" s="50" t="str">
        <x:f>IF(A55="","",IF(P55+S55=0,0,Y55/(P55+S55)))</x:f>
      </x:c>
      <x:c r="AH55" s="48" t="str">
        <x:f>IF(A55="","",IF(Y55&gt;0,"PROFIT",IF(Y55&lt;0,"LOSS","BREAK-EVEN")))</x:f>
      </x:c>
    </x:row>
    <x:row r="56">
      <x:c r="A56" s="42"/>
      <x:c r="B56" s="42"/>
      <x:c r="C56" s="42"/>
      <x:c r="D56" s="42"/>
      <x:c r="E56" s="42"/>
      <x:c r="F56" s="42"/>
      <x:c r="G56" s="42"/>
      <x:c r="H56" s="72"/>
      <x:c r="I56" s="76"/>
      <x:c r="J56" s="76"/>
      <x:c r="K56" s="42"/>
      <x:c r="L56" s="50" t="str">
        <x:f>IF(A56="","",I56+J56+IF(K56="Yes",Settings!$B$11,0))</x:f>
      </x:c>
      <x:c r="M56" s="50" t="str">
        <x:f>IF(A56="","",1-1/(1+L56))</x:f>
      </x:c>
      <x:c r="N56" s="73" t="str">
        <x:f>IF(A56="","",SUMIFS('Recipe Lines'!$N$5:$N$504,'Recipe Lines'!$A$5:$A$504,A56,'Recipe Lines'!$H$5:$H$504,"Yes"))</x:f>
      </x:c>
      <x:c r="O56" s="73" t="str">
        <x:f>IF(A56="","",SUMIFS('Recipe Lines'!$N$5:$N$504,'Recipe Lines'!$A$5:$A$504,A56,'Recipe Lines'!$H$5:$H$504,"No"))</x:f>
      </x:c>
      <x:c r="P56" s="73" t="str">
        <x:f>IF(A56="","",N56*(1-M56)+O56)</x:f>
      </x:c>
      <x:c r="Q56" s="46"/>
      <x:c r="R56" s="72"/>
      <x:c r="S56" s="73" t="str">
        <x:f>IF(A56="","",R56*0.1125*Q56)</x:f>
      </x:c>
      <x:c r="T56" s="72"/>
      <x:c r="U56" s="73" t="str">
        <x:f>IF(A56="","",IF(H56&gt;0,H56,IF(F56="Sell Order",SUMIFS('Market Data'!$E$5:$E$504,'Market Data'!$A$5:$A$504,E56,'Market Data'!$B$5:$B$504,B56,'Market Data'!$D$5:$D$504,G56),SUMIFS('Market Data'!$F$5:$F$504,'Market Data'!$A$5:$A$504,E56,'Market Data'!$B$5:$B$504,B56,'Market Data'!$D$5:$D$504,G56))))</x:f>
      </x:c>
      <x:c r="V56" s="73" t="str">
        <x:f>IF(A56="","",U56*D56)</x:f>
      </x:c>
      <x:c r="W56" s="73" t="str">
        <x:f>IF(A56="","",V56*(Settings!$B$19+IF(F56="Sell Order",Settings!$B$13,0)))</x:f>
      </x:c>
      <x:c r="X56" s="73" t="str">
        <x:f>IF(A56="","",V56-W56+T56)</x:f>
      </x:c>
      <x:c r="Y56" s="73" t="str">
        <x:f>IF(A56="","",X56-P56-S56)</x:f>
      </x:c>
      <x:c r="Z56" s="50" t="str">
        <x:f>IF(A56="","",IF(V56=0,0,Y56/V56))</x:f>
      </x:c>
      <x:c r="AA56" s="72"/>
      <x:c r="AB56" s="68"/>
      <x:c r="AC56" s="73" t="str">
        <x:f>IF(A56="","",IF(K56="Yes",AA56*POWER(0.5,AB56/10000),0))</x:f>
      </x:c>
      <x:c r="AD56" s="73" t="str">
        <x:f>IF(A56="","",IF(K56="Yes",N56*((1-1/(1+I56+J56+Settings!$B$11))-(1-1/(1+I56+J56))),0))</x:f>
      </x:c>
      <x:c r="AE56" s="73" t="str">
        <x:f>IF(A56="","",IF(AC56&gt;0,AD56/AC56,0))</x:f>
      </x:c>
      <x:c r="AF56" s="73" t="str">
        <x:f>IF(A56="","",IF(D56=0,0,MAX(0,(P56+S56-T56)/(D56*(1-(Settings!$B$19+IF(F56="Sell Order",Settings!$B$13,0)))))))</x:f>
      </x:c>
      <x:c r="AG56" s="50" t="str">
        <x:f>IF(A56="","",IF(P56+S56=0,0,Y56/(P56+S56)))</x:f>
      </x:c>
      <x:c r="AH56" s="48" t="str">
        <x:f>IF(A56="","",IF(Y56&gt;0,"PROFIT",IF(Y56&lt;0,"LOSS","BREAK-EVEN")))</x:f>
      </x:c>
    </x:row>
    <x:row r="57">
      <x:c r="A57" s="42"/>
      <x:c r="B57" s="42"/>
      <x:c r="C57" s="42"/>
      <x:c r="D57" s="42"/>
      <x:c r="E57" s="42"/>
      <x:c r="F57" s="42"/>
      <x:c r="G57" s="42"/>
      <x:c r="H57" s="72"/>
      <x:c r="I57" s="76"/>
      <x:c r="J57" s="76"/>
      <x:c r="K57" s="42"/>
      <x:c r="L57" s="50" t="str">
        <x:f>IF(A57="","",I57+J57+IF(K57="Yes",Settings!$B$11,0))</x:f>
      </x:c>
      <x:c r="M57" s="50" t="str">
        <x:f>IF(A57="","",1-1/(1+L57))</x:f>
      </x:c>
      <x:c r="N57" s="73" t="str">
        <x:f>IF(A57="","",SUMIFS('Recipe Lines'!$N$5:$N$504,'Recipe Lines'!$A$5:$A$504,A57,'Recipe Lines'!$H$5:$H$504,"Yes"))</x:f>
      </x:c>
      <x:c r="O57" s="73" t="str">
        <x:f>IF(A57="","",SUMIFS('Recipe Lines'!$N$5:$N$504,'Recipe Lines'!$A$5:$A$504,A57,'Recipe Lines'!$H$5:$H$504,"No"))</x:f>
      </x:c>
      <x:c r="P57" s="73" t="str">
        <x:f>IF(A57="","",N57*(1-M57)+O57)</x:f>
      </x:c>
      <x:c r="Q57" s="46"/>
      <x:c r="R57" s="72"/>
      <x:c r="S57" s="73" t="str">
        <x:f>IF(A57="","",R57*0.1125*Q57)</x:f>
      </x:c>
      <x:c r="T57" s="72"/>
      <x:c r="U57" s="73" t="str">
        <x:f>IF(A57="","",IF(H57&gt;0,H57,IF(F57="Sell Order",SUMIFS('Market Data'!$E$5:$E$504,'Market Data'!$A$5:$A$504,E57,'Market Data'!$B$5:$B$504,B57,'Market Data'!$D$5:$D$504,G57),SUMIFS('Market Data'!$F$5:$F$504,'Market Data'!$A$5:$A$504,E57,'Market Data'!$B$5:$B$504,B57,'Market Data'!$D$5:$D$504,G57))))</x:f>
      </x:c>
      <x:c r="V57" s="73" t="str">
        <x:f>IF(A57="","",U57*D57)</x:f>
      </x:c>
      <x:c r="W57" s="73" t="str">
        <x:f>IF(A57="","",V57*(Settings!$B$19+IF(F57="Sell Order",Settings!$B$13,0)))</x:f>
      </x:c>
      <x:c r="X57" s="73" t="str">
        <x:f>IF(A57="","",V57-W57+T57)</x:f>
      </x:c>
      <x:c r="Y57" s="73" t="str">
        <x:f>IF(A57="","",X57-P57-S57)</x:f>
      </x:c>
      <x:c r="Z57" s="50" t="str">
        <x:f>IF(A57="","",IF(V57=0,0,Y57/V57))</x:f>
      </x:c>
      <x:c r="AA57" s="72"/>
      <x:c r="AB57" s="68"/>
      <x:c r="AC57" s="73" t="str">
        <x:f>IF(A57="","",IF(K57="Yes",AA57*POWER(0.5,AB57/10000),0))</x:f>
      </x:c>
      <x:c r="AD57" s="73" t="str">
        <x:f>IF(A57="","",IF(K57="Yes",N57*((1-1/(1+I57+J57+Settings!$B$11))-(1-1/(1+I57+J57))),0))</x:f>
      </x:c>
      <x:c r="AE57" s="73" t="str">
        <x:f>IF(A57="","",IF(AC57&gt;0,AD57/AC57,0))</x:f>
      </x:c>
      <x:c r="AF57" s="73" t="str">
        <x:f>IF(A57="","",IF(D57=0,0,MAX(0,(P57+S57-T57)/(D57*(1-(Settings!$B$19+IF(F57="Sell Order",Settings!$B$13,0)))))))</x:f>
      </x:c>
      <x:c r="AG57" s="50" t="str">
        <x:f>IF(A57="","",IF(P57+S57=0,0,Y57/(P57+S57)))</x:f>
      </x:c>
      <x:c r="AH57" s="48" t="str">
        <x:f>IF(A57="","",IF(Y57&gt;0,"PROFIT",IF(Y57&lt;0,"LOSS","BREAK-EVEN")))</x:f>
      </x:c>
    </x:row>
    <x:row r="58">
      <x:c r="A58" s="42"/>
      <x:c r="B58" s="42"/>
      <x:c r="C58" s="42"/>
      <x:c r="D58" s="42"/>
      <x:c r="E58" s="42"/>
      <x:c r="F58" s="42"/>
      <x:c r="G58" s="42"/>
      <x:c r="H58" s="72"/>
      <x:c r="I58" s="76"/>
      <x:c r="J58" s="76"/>
      <x:c r="K58" s="42"/>
      <x:c r="L58" s="50" t="str">
        <x:f>IF(A58="","",I58+J58+IF(K58="Yes",Settings!$B$11,0))</x:f>
      </x:c>
      <x:c r="M58" s="50" t="str">
        <x:f>IF(A58="","",1-1/(1+L58))</x:f>
      </x:c>
      <x:c r="N58" s="73" t="str">
        <x:f>IF(A58="","",SUMIFS('Recipe Lines'!$N$5:$N$504,'Recipe Lines'!$A$5:$A$504,A58,'Recipe Lines'!$H$5:$H$504,"Yes"))</x:f>
      </x:c>
      <x:c r="O58" s="73" t="str">
        <x:f>IF(A58="","",SUMIFS('Recipe Lines'!$N$5:$N$504,'Recipe Lines'!$A$5:$A$504,A58,'Recipe Lines'!$H$5:$H$504,"No"))</x:f>
      </x:c>
      <x:c r="P58" s="73" t="str">
        <x:f>IF(A58="","",N58*(1-M58)+O58)</x:f>
      </x:c>
      <x:c r="Q58" s="46"/>
      <x:c r="R58" s="72"/>
      <x:c r="S58" s="73" t="str">
        <x:f>IF(A58="","",R58*0.1125*Q58)</x:f>
      </x:c>
      <x:c r="T58" s="72"/>
      <x:c r="U58" s="73" t="str">
        <x:f>IF(A58="","",IF(H58&gt;0,H58,IF(F58="Sell Order",SUMIFS('Market Data'!$E$5:$E$504,'Market Data'!$A$5:$A$504,E58,'Market Data'!$B$5:$B$504,B58,'Market Data'!$D$5:$D$504,G58),SUMIFS('Market Data'!$F$5:$F$504,'Market Data'!$A$5:$A$504,E58,'Market Data'!$B$5:$B$504,B58,'Market Data'!$D$5:$D$504,G58))))</x:f>
      </x:c>
      <x:c r="V58" s="73" t="str">
        <x:f>IF(A58="","",U58*D58)</x:f>
      </x:c>
      <x:c r="W58" s="73" t="str">
        <x:f>IF(A58="","",V58*(Settings!$B$19+IF(F58="Sell Order",Settings!$B$13,0)))</x:f>
      </x:c>
      <x:c r="X58" s="73" t="str">
        <x:f>IF(A58="","",V58-W58+T58)</x:f>
      </x:c>
      <x:c r="Y58" s="73" t="str">
        <x:f>IF(A58="","",X58-P58-S58)</x:f>
      </x:c>
      <x:c r="Z58" s="50" t="str">
        <x:f>IF(A58="","",IF(V58=0,0,Y58/V58))</x:f>
      </x:c>
      <x:c r="AA58" s="72"/>
      <x:c r="AB58" s="68"/>
      <x:c r="AC58" s="73" t="str">
        <x:f>IF(A58="","",IF(K58="Yes",AA58*POWER(0.5,AB58/10000),0))</x:f>
      </x:c>
      <x:c r="AD58" s="73" t="str">
        <x:f>IF(A58="","",IF(K58="Yes",N58*((1-1/(1+I58+J58+Settings!$B$11))-(1-1/(1+I58+J58))),0))</x:f>
      </x:c>
      <x:c r="AE58" s="73" t="str">
        <x:f>IF(A58="","",IF(AC58&gt;0,AD58/AC58,0))</x:f>
      </x:c>
      <x:c r="AF58" s="73" t="str">
        <x:f>IF(A58="","",IF(D58=0,0,MAX(0,(P58+S58-T58)/(D58*(1-(Settings!$B$19+IF(F58="Sell Order",Settings!$B$13,0)))))))</x:f>
      </x:c>
      <x:c r="AG58" s="50" t="str">
        <x:f>IF(A58="","",IF(P58+S58=0,0,Y58/(P58+S58)))</x:f>
      </x:c>
      <x:c r="AH58" s="48" t="str">
        <x:f>IF(A58="","",IF(Y58&gt;0,"PROFIT",IF(Y58&lt;0,"LOSS","BREAK-EVEN")))</x:f>
      </x:c>
    </x:row>
    <x:row r="59">
      <x:c r="A59" s="42"/>
      <x:c r="B59" s="42"/>
      <x:c r="C59" s="42"/>
      <x:c r="D59" s="42"/>
      <x:c r="E59" s="42"/>
      <x:c r="F59" s="42"/>
      <x:c r="G59" s="42"/>
      <x:c r="H59" s="72"/>
      <x:c r="I59" s="76"/>
      <x:c r="J59" s="76"/>
      <x:c r="K59" s="42"/>
      <x:c r="L59" s="50" t="str">
        <x:f>IF(A59="","",I59+J59+IF(K59="Yes",Settings!$B$11,0))</x:f>
      </x:c>
      <x:c r="M59" s="50" t="str">
        <x:f>IF(A59="","",1-1/(1+L59))</x:f>
      </x:c>
      <x:c r="N59" s="73" t="str">
        <x:f>IF(A59="","",SUMIFS('Recipe Lines'!$N$5:$N$504,'Recipe Lines'!$A$5:$A$504,A59,'Recipe Lines'!$H$5:$H$504,"Yes"))</x:f>
      </x:c>
      <x:c r="O59" s="73" t="str">
        <x:f>IF(A59="","",SUMIFS('Recipe Lines'!$N$5:$N$504,'Recipe Lines'!$A$5:$A$504,A59,'Recipe Lines'!$H$5:$H$504,"No"))</x:f>
      </x:c>
      <x:c r="P59" s="73" t="str">
        <x:f>IF(A59="","",N59*(1-M59)+O59)</x:f>
      </x:c>
      <x:c r="Q59" s="46"/>
      <x:c r="R59" s="72"/>
      <x:c r="S59" s="73" t="str">
        <x:f>IF(A59="","",R59*0.1125*Q59)</x:f>
      </x:c>
      <x:c r="T59" s="72"/>
      <x:c r="U59" s="73" t="str">
        <x:f>IF(A59="","",IF(H59&gt;0,H59,IF(F59="Sell Order",SUMIFS('Market Data'!$E$5:$E$504,'Market Data'!$A$5:$A$504,E59,'Market Data'!$B$5:$B$504,B59,'Market Data'!$D$5:$D$504,G59),SUMIFS('Market Data'!$F$5:$F$504,'Market Data'!$A$5:$A$504,E59,'Market Data'!$B$5:$B$504,B59,'Market Data'!$D$5:$D$504,G59))))</x:f>
      </x:c>
      <x:c r="V59" s="73" t="str">
        <x:f>IF(A59="","",U59*D59)</x:f>
      </x:c>
      <x:c r="W59" s="73" t="str">
        <x:f>IF(A59="","",V59*(Settings!$B$19+IF(F59="Sell Order",Settings!$B$13,0)))</x:f>
      </x:c>
      <x:c r="X59" s="73" t="str">
        <x:f>IF(A59="","",V59-W59+T59)</x:f>
      </x:c>
      <x:c r="Y59" s="73" t="str">
        <x:f>IF(A59="","",X59-P59-S59)</x:f>
      </x:c>
      <x:c r="Z59" s="50" t="str">
        <x:f>IF(A59="","",IF(V59=0,0,Y59/V59))</x:f>
      </x:c>
      <x:c r="AA59" s="72"/>
      <x:c r="AB59" s="68"/>
      <x:c r="AC59" s="73" t="str">
        <x:f>IF(A59="","",IF(K59="Yes",AA59*POWER(0.5,AB59/10000),0))</x:f>
      </x:c>
      <x:c r="AD59" s="73" t="str">
        <x:f>IF(A59="","",IF(K59="Yes",N59*((1-1/(1+I59+J59+Settings!$B$11))-(1-1/(1+I59+J59))),0))</x:f>
      </x:c>
      <x:c r="AE59" s="73" t="str">
        <x:f>IF(A59="","",IF(AC59&gt;0,AD59/AC59,0))</x:f>
      </x:c>
      <x:c r="AF59" s="73" t="str">
        <x:f>IF(A59="","",IF(D59=0,0,MAX(0,(P59+S59-T59)/(D59*(1-(Settings!$B$19+IF(F59="Sell Order",Settings!$B$13,0)))))))</x:f>
      </x:c>
      <x:c r="AG59" s="50" t="str">
        <x:f>IF(A59="","",IF(P59+S59=0,0,Y59/(P59+S59)))</x:f>
      </x:c>
      <x:c r="AH59" s="48" t="str">
        <x:f>IF(A59="","",IF(Y59&gt;0,"PROFIT",IF(Y59&lt;0,"LOSS","BREAK-EVEN")))</x:f>
      </x:c>
    </x:row>
    <x:row r="60">
      <x:c r="A60" s="42"/>
      <x:c r="B60" s="42"/>
      <x:c r="C60" s="42"/>
      <x:c r="D60" s="42"/>
      <x:c r="E60" s="42"/>
      <x:c r="F60" s="42"/>
      <x:c r="G60" s="42"/>
      <x:c r="H60" s="72"/>
      <x:c r="I60" s="76"/>
      <x:c r="J60" s="76"/>
      <x:c r="K60" s="42"/>
      <x:c r="L60" s="50" t="str">
        <x:f>IF(A60="","",I60+J60+IF(K60="Yes",Settings!$B$11,0))</x:f>
      </x:c>
      <x:c r="M60" s="50" t="str">
        <x:f>IF(A60="","",1-1/(1+L60))</x:f>
      </x:c>
      <x:c r="N60" s="73" t="str">
        <x:f>IF(A60="","",SUMIFS('Recipe Lines'!$N$5:$N$504,'Recipe Lines'!$A$5:$A$504,A60,'Recipe Lines'!$H$5:$H$504,"Yes"))</x:f>
      </x:c>
      <x:c r="O60" s="73" t="str">
        <x:f>IF(A60="","",SUMIFS('Recipe Lines'!$N$5:$N$504,'Recipe Lines'!$A$5:$A$504,A60,'Recipe Lines'!$H$5:$H$504,"No"))</x:f>
      </x:c>
      <x:c r="P60" s="73" t="str">
        <x:f>IF(A60="","",N60*(1-M60)+O60)</x:f>
      </x:c>
      <x:c r="Q60" s="46"/>
      <x:c r="R60" s="72"/>
      <x:c r="S60" s="73" t="str">
        <x:f>IF(A60="","",R60*0.1125*Q60)</x:f>
      </x:c>
      <x:c r="T60" s="72"/>
      <x:c r="U60" s="73" t="str">
        <x:f>IF(A60="","",IF(H60&gt;0,H60,IF(F60="Sell Order",SUMIFS('Market Data'!$E$5:$E$504,'Market Data'!$A$5:$A$504,E60,'Market Data'!$B$5:$B$504,B60,'Market Data'!$D$5:$D$504,G60),SUMIFS('Market Data'!$F$5:$F$504,'Market Data'!$A$5:$A$504,E60,'Market Data'!$B$5:$B$504,B60,'Market Data'!$D$5:$D$504,G60))))</x:f>
      </x:c>
      <x:c r="V60" s="73" t="str">
        <x:f>IF(A60="","",U60*D60)</x:f>
      </x:c>
      <x:c r="W60" s="73" t="str">
        <x:f>IF(A60="","",V60*(Settings!$B$19+IF(F60="Sell Order",Settings!$B$13,0)))</x:f>
      </x:c>
      <x:c r="X60" s="73" t="str">
        <x:f>IF(A60="","",V60-W60+T60)</x:f>
      </x:c>
      <x:c r="Y60" s="73" t="str">
        <x:f>IF(A60="","",X60-P60-S60)</x:f>
      </x:c>
      <x:c r="Z60" s="50" t="str">
        <x:f>IF(A60="","",IF(V60=0,0,Y60/V60))</x:f>
      </x:c>
      <x:c r="AA60" s="72"/>
      <x:c r="AB60" s="68"/>
      <x:c r="AC60" s="73" t="str">
        <x:f>IF(A60="","",IF(K60="Yes",AA60*POWER(0.5,AB60/10000),0))</x:f>
      </x:c>
      <x:c r="AD60" s="73" t="str">
        <x:f>IF(A60="","",IF(K60="Yes",N60*((1-1/(1+I60+J60+Settings!$B$11))-(1-1/(1+I60+J60))),0))</x:f>
      </x:c>
      <x:c r="AE60" s="73" t="str">
        <x:f>IF(A60="","",IF(AC60&gt;0,AD60/AC60,0))</x:f>
      </x:c>
      <x:c r="AF60" s="73" t="str">
        <x:f>IF(A60="","",IF(D60=0,0,MAX(0,(P60+S60-T60)/(D60*(1-(Settings!$B$19+IF(F60="Sell Order",Settings!$B$13,0)))))))</x:f>
      </x:c>
      <x:c r="AG60" s="50" t="str">
        <x:f>IF(A60="","",IF(P60+S60=0,0,Y60/(P60+S60)))</x:f>
      </x:c>
      <x:c r="AH60" s="48" t="str">
        <x:f>IF(A60="","",IF(Y60&gt;0,"PROFIT",IF(Y60&lt;0,"LOSS","BREAK-EVEN")))</x:f>
      </x:c>
    </x:row>
    <x:row r="61">
      <x:c r="A61" s="42"/>
      <x:c r="B61" s="42"/>
      <x:c r="C61" s="42"/>
      <x:c r="D61" s="42"/>
      <x:c r="E61" s="42"/>
      <x:c r="F61" s="42"/>
      <x:c r="G61" s="42"/>
      <x:c r="H61" s="72"/>
      <x:c r="I61" s="76"/>
      <x:c r="J61" s="76"/>
      <x:c r="K61" s="42"/>
      <x:c r="L61" s="50" t="str">
        <x:f>IF(A61="","",I61+J61+IF(K61="Yes",Settings!$B$11,0))</x:f>
      </x:c>
      <x:c r="M61" s="50" t="str">
        <x:f>IF(A61="","",1-1/(1+L61))</x:f>
      </x:c>
      <x:c r="N61" s="73" t="str">
        <x:f>IF(A61="","",SUMIFS('Recipe Lines'!$N$5:$N$504,'Recipe Lines'!$A$5:$A$504,A61,'Recipe Lines'!$H$5:$H$504,"Yes"))</x:f>
      </x:c>
      <x:c r="O61" s="73" t="str">
        <x:f>IF(A61="","",SUMIFS('Recipe Lines'!$N$5:$N$504,'Recipe Lines'!$A$5:$A$504,A61,'Recipe Lines'!$H$5:$H$504,"No"))</x:f>
      </x:c>
      <x:c r="P61" s="73" t="str">
        <x:f>IF(A61="","",N61*(1-M61)+O61)</x:f>
      </x:c>
      <x:c r="Q61" s="46"/>
      <x:c r="R61" s="72"/>
      <x:c r="S61" s="73" t="str">
        <x:f>IF(A61="","",R61*0.1125*Q61)</x:f>
      </x:c>
      <x:c r="T61" s="72"/>
      <x:c r="U61" s="73" t="str">
        <x:f>IF(A61="","",IF(H61&gt;0,H61,IF(F61="Sell Order",SUMIFS('Market Data'!$E$5:$E$504,'Market Data'!$A$5:$A$504,E61,'Market Data'!$B$5:$B$504,B61,'Market Data'!$D$5:$D$504,G61),SUMIFS('Market Data'!$F$5:$F$504,'Market Data'!$A$5:$A$504,E61,'Market Data'!$B$5:$B$504,B61,'Market Data'!$D$5:$D$504,G61))))</x:f>
      </x:c>
      <x:c r="V61" s="73" t="str">
        <x:f>IF(A61="","",U61*D61)</x:f>
      </x:c>
      <x:c r="W61" s="73" t="str">
        <x:f>IF(A61="","",V61*(Settings!$B$19+IF(F61="Sell Order",Settings!$B$13,0)))</x:f>
      </x:c>
      <x:c r="X61" s="73" t="str">
        <x:f>IF(A61="","",V61-W61+T61)</x:f>
      </x:c>
      <x:c r="Y61" s="73" t="str">
        <x:f>IF(A61="","",X61-P61-S61)</x:f>
      </x:c>
      <x:c r="Z61" s="50" t="str">
        <x:f>IF(A61="","",IF(V61=0,0,Y61/V61))</x:f>
      </x:c>
      <x:c r="AA61" s="72"/>
      <x:c r="AB61" s="68"/>
      <x:c r="AC61" s="73" t="str">
        <x:f>IF(A61="","",IF(K61="Yes",AA61*POWER(0.5,AB61/10000),0))</x:f>
      </x:c>
      <x:c r="AD61" s="73" t="str">
        <x:f>IF(A61="","",IF(K61="Yes",N61*((1-1/(1+I61+J61+Settings!$B$11))-(1-1/(1+I61+J61))),0))</x:f>
      </x:c>
      <x:c r="AE61" s="73" t="str">
        <x:f>IF(A61="","",IF(AC61&gt;0,AD61/AC61,0))</x:f>
      </x:c>
      <x:c r="AF61" s="73" t="str">
        <x:f>IF(A61="","",IF(D61=0,0,MAX(0,(P61+S61-T61)/(D61*(1-(Settings!$B$19+IF(F61="Sell Order",Settings!$B$13,0)))))))</x:f>
      </x:c>
      <x:c r="AG61" s="50" t="str">
        <x:f>IF(A61="","",IF(P61+S61=0,0,Y61/(P61+S61)))</x:f>
      </x:c>
      <x:c r="AH61" s="48" t="str">
        <x:f>IF(A61="","",IF(Y61&gt;0,"PROFIT",IF(Y61&lt;0,"LOSS","BREAK-EVEN")))</x:f>
      </x:c>
    </x:row>
    <x:row r="62">
      <x:c r="A62" s="42"/>
      <x:c r="B62" s="42"/>
      <x:c r="C62" s="42"/>
      <x:c r="D62" s="42"/>
      <x:c r="E62" s="42"/>
      <x:c r="F62" s="42"/>
      <x:c r="G62" s="42"/>
      <x:c r="H62" s="72"/>
      <x:c r="I62" s="76"/>
      <x:c r="J62" s="76"/>
      <x:c r="K62" s="42"/>
      <x:c r="L62" s="50" t="str">
        <x:f>IF(A62="","",I62+J62+IF(K62="Yes",Settings!$B$11,0))</x:f>
      </x:c>
      <x:c r="M62" s="50" t="str">
        <x:f>IF(A62="","",1-1/(1+L62))</x:f>
      </x:c>
      <x:c r="N62" s="73" t="str">
        <x:f>IF(A62="","",SUMIFS('Recipe Lines'!$N$5:$N$504,'Recipe Lines'!$A$5:$A$504,A62,'Recipe Lines'!$H$5:$H$504,"Yes"))</x:f>
      </x:c>
      <x:c r="O62" s="73" t="str">
        <x:f>IF(A62="","",SUMIFS('Recipe Lines'!$N$5:$N$504,'Recipe Lines'!$A$5:$A$504,A62,'Recipe Lines'!$H$5:$H$504,"No"))</x:f>
      </x:c>
      <x:c r="P62" s="73" t="str">
        <x:f>IF(A62="","",N62*(1-M62)+O62)</x:f>
      </x:c>
      <x:c r="Q62" s="46"/>
      <x:c r="R62" s="72"/>
      <x:c r="S62" s="73" t="str">
        <x:f>IF(A62="","",R62*0.1125*Q62)</x:f>
      </x:c>
      <x:c r="T62" s="72"/>
      <x:c r="U62" s="73" t="str">
        <x:f>IF(A62="","",IF(H62&gt;0,H62,IF(F62="Sell Order",SUMIFS('Market Data'!$E$5:$E$504,'Market Data'!$A$5:$A$504,E62,'Market Data'!$B$5:$B$504,B62,'Market Data'!$D$5:$D$504,G62),SUMIFS('Market Data'!$F$5:$F$504,'Market Data'!$A$5:$A$504,E62,'Market Data'!$B$5:$B$504,B62,'Market Data'!$D$5:$D$504,G62))))</x:f>
      </x:c>
      <x:c r="V62" s="73" t="str">
        <x:f>IF(A62="","",U62*D62)</x:f>
      </x:c>
      <x:c r="W62" s="73" t="str">
        <x:f>IF(A62="","",V62*(Settings!$B$19+IF(F62="Sell Order",Settings!$B$13,0)))</x:f>
      </x:c>
      <x:c r="X62" s="73" t="str">
        <x:f>IF(A62="","",V62-W62+T62)</x:f>
      </x:c>
      <x:c r="Y62" s="73" t="str">
        <x:f>IF(A62="","",X62-P62-S62)</x:f>
      </x:c>
      <x:c r="Z62" s="50" t="str">
        <x:f>IF(A62="","",IF(V62=0,0,Y62/V62))</x:f>
      </x:c>
      <x:c r="AA62" s="72"/>
      <x:c r="AB62" s="68"/>
      <x:c r="AC62" s="73" t="str">
        <x:f>IF(A62="","",IF(K62="Yes",AA62*POWER(0.5,AB62/10000),0))</x:f>
      </x:c>
      <x:c r="AD62" s="73" t="str">
        <x:f>IF(A62="","",IF(K62="Yes",N62*((1-1/(1+I62+J62+Settings!$B$11))-(1-1/(1+I62+J62))),0))</x:f>
      </x:c>
      <x:c r="AE62" s="73" t="str">
        <x:f>IF(A62="","",IF(AC62&gt;0,AD62/AC62,0))</x:f>
      </x:c>
      <x:c r="AF62" s="73" t="str">
        <x:f>IF(A62="","",IF(D62=0,0,MAX(0,(P62+S62-T62)/(D62*(1-(Settings!$B$19+IF(F62="Sell Order",Settings!$B$13,0)))))))</x:f>
      </x:c>
      <x:c r="AG62" s="50" t="str">
        <x:f>IF(A62="","",IF(P62+S62=0,0,Y62/(P62+S62)))</x:f>
      </x:c>
      <x:c r="AH62" s="48" t="str">
        <x:f>IF(A62="","",IF(Y62&gt;0,"PROFIT",IF(Y62&lt;0,"LOSS","BREAK-EVEN")))</x:f>
      </x:c>
    </x:row>
    <x:row r="63">
      <x:c r="A63" s="42"/>
      <x:c r="B63" s="42"/>
      <x:c r="C63" s="42"/>
      <x:c r="D63" s="42"/>
      <x:c r="E63" s="42"/>
      <x:c r="F63" s="42"/>
      <x:c r="G63" s="42"/>
      <x:c r="H63" s="72"/>
      <x:c r="I63" s="76"/>
      <x:c r="J63" s="76"/>
      <x:c r="K63" s="42"/>
      <x:c r="L63" s="50" t="str">
        <x:f>IF(A63="","",I63+J63+IF(K63="Yes",Settings!$B$11,0))</x:f>
      </x:c>
      <x:c r="M63" s="50" t="str">
        <x:f>IF(A63="","",1-1/(1+L63))</x:f>
      </x:c>
      <x:c r="N63" s="73" t="str">
        <x:f>IF(A63="","",SUMIFS('Recipe Lines'!$N$5:$N$504,'Recipe Lines'!$A$5:$A$504,A63,'Recipe Lines'!$H$5:$H$504,"Yes"))</x:f>
      </x:c>
      <x:c r="O63" s="73" t="str">
        <x:f>IF(A63="","",SUMIFS('Recipe Lines'!$N$5:$N$504,'Recipe Lines'!$A$5:$A$504,A63,'Recipe Lines'!$H$5:$H$504,"No"))</x:f>
      </x:c>
      <x:c r="P63" s="73" t="str">
        <x:f>IF(A63="","",N63*(1-M63)+O63)</x:f>
      </x:c>
      <x:c r="Q63" s="46"/>
      <x:c r="R63" s="72"/>
      <x:c r="S63" s="73" t="str">
        <x:f>IF(A63="","",R63*0.1125*Q63)</x:f>
      </x:c>
      <x:c r="T63" s="72"/>
      <x:c r="U63" s="73" t="str">
        <x:f>IF(A63="","",IF(H63&gt;0,H63,IF(F63="Sell Order",SUMIFS('Market Data'!$E$5:$E$504,'Market Data'!$A$5:$A$504,E63,'Market Data'!$B$5:$B$504,B63,'Market Data'!$D$5:$D$504,G63),SUMIFS('Market Data'!$F$5:$F$504,'Market Data'!$A$5:$A$504,E63,'Market Data'!$B$5:$B$504,B63,'Market Data'!$D$5:$D$504,G63))))</x:f>
      </x:c>
      <x:c r="V63" s="73" t="str">
        <x:f>IF(A63="","",U63*D63)</x:f>
      </x:c>
      <x:c r="W63" s="73" t="str">
        <x:f>IF(A63="","",V63*(Settings!$B$19+IF(F63="Sell Order",Settings!$B$13,0)))</x:f>
      </x:c>
      <x:c r="X63" s="73" t="str">
        <x:f>IF(A63="","",V63-W63+T63)</x:f>
      </x:c>
      <x:c r="Y63" s="73" t="str">
        <x:f>IF(A63="","",X63-P63-S63)</x:f>
      </x:c>
      <x:c r="Z63" s="50" t="str">
        <x:f>IF(A63="","",IF(V63=0,0,Y63/V63))</x:f>
      </x:c>
      <x:c r="AA63" s="72"/>
      <x:c r="AB63" s="68"/>
      <x:c r="AC63" s="73" t="str">
        <x:f>IF(A63="","",IF(K63="Yes",AA63*POWER(0.5,AB63/10000),0))</x:f>
      </x:c>
      <x:c r="AD63" s="73" t="str">
        <x:f>IF(A63="","",IF(K63="Yes",N63*((1-1/(1+I63+J63+Settings!$B$11))-(1-1/(1+I63+J63))),0))</x:f>
      </x:c>
      <x:c r="AE63" s="73" t="str">
        <x:f>IF(A63="","",IF(AC63&gt;0,AD63/AC63,0))</x:f>
      </x:c>
      <x:c r="AF63" s="73" t="str">
        <x:f>IF(A63="","",IF(D63=0,0,MAX(0,(P63+S63-T63)/(D63*(1-(Settings!$B$19+IF(F63="Sell Order",Settings!$B$13,0)))))))</x:f>
      </x:c>
      <x:c r="AG63" s="50" t="str">
        <x:f>IF(A63="","",IF(P63+S63=0,0,Y63/(P63+S63)))</x:f>
      </x:c>
      <x:c r="AH63" s="48" t="str">
        <x:f>IF(A63="","",IF(Y63&gt;0,"PROFIT",IF(Y63&lt;0,"LOSS","BREAK-EVEN")))</x:f>
      </x:c>
    </x:row>
    <x:row r="64">
      <x:c r="A64" s="42"/>
      <x:c r="B64" s="42"/>
      <x:c r="C64" s="42"/>
      <x:c r="D64" s="42"/>
      <x:c r="E64" s="42"/>
      <x:c r="F64" s="42"/>
      <x:c r="G64" s="42"/>
      <x:c r="H64" s="72"/>
      <x:c r="I64" s="76"/>
      <x:c r="J64" s="76"/>
      <x:c r="K64" s="42"/>
      <x:c r="L64" s="50" t="str">
        <x:f>IF(A64="","",I64+J64+IF(K64="Yes",Settings!$B$11,0))</x:f>
      </x:c>
      <x:c r="M64" s="50" t="str">
        <x:f>IF(A64="","",1-1/(1+L64))</x:f>
      </x:c>
      <x:c r="N64" s="73" t="str">
        <x:f>IF(A64="","",SUMIFS('Recipe Lines'!$N$5:$N$504,'Recipe Lines'!$A$5:$A$504,A64,'Recipe Lines'!$H$5:$H$504,"Yes"))</x:f>
      </x:c>
      <x:c r="O64" s="73" t="str">
        <x:f>IF(A64="","",SUMIFS('Recipe Lines'!$N$5:$N$504,'Recipe Lines'!$A$5:$A$504,A64,'Recipe Lines'!$H$5:$H$504,"No"))</x:f>
      </x:c>
      <x:c r="P64" s="73" t="str">
        <x:f>IF(A64="","",N64*(1-M64)+O64)</x:f>
      </x:c>
      <x:c r="Q64" s="46"/>
      <x:c r="R64" s="72"/>
      <x:c r="S64" s="73" t="str">
        <x:f>IF(A64="","",R64*0.1125*Q64)</x:f>
      </x:c>
      <x:c r="T64" s="72"/>
      <x:c r="U64" s="73" t="str">
        <x:f>IF(A64="","",IF(H64&gt;0,H64,IF(F64="Sell Order",SUMIFS('Market Data'!$E$5:$E$504,'Market Data'!$A$5:$A$504,E64,'Market Data'!$B$5:$B$504,B64,'Market Data'!$D$5:$D$504,G64),SUMIFS('Market Data'!$F$5:$F$504,'Market Data'!$A$5:$A$504,E64,'Market Data'!$B$5:$B$504,B64,'Market Data'!$D$5:$D$504,G64))))</x:f>
      </x:c>
      <x:c r="V64" s="73" t="str">
        <x:f>IF(A64="","",U64*D64)</x:f>
      </x:c>
      <x:c r="W64" s="73" t="str">
        <x:f>IF(A64="","",V64*(Settings!$B$19+IF(F64="Sell Order",Settings!$B$13,0)))</x:f>
      </x:c>
      <x:c r="X64" s="73" t="str">
        <x:f>IF(A64="","",V64-W64+T64)</x:f>
      </x:c>
      <x:c r="Y64" s="73" t="str">
        <x:f>IF(A64="","",X64-P64-S64)</x:f>
      </x:c>
      <x:c r="Z64" s="50" t="str">
        <x:f>IF(A64="","",IF(V64=0,0,Y64/V64))</x:f>
      </x:c>
      <x:c r="AA64" s="72"/>
      <x:c r="AB64" s="68"/>
      <x:c r="AC64" s="73" t="str">
        <x:f>IF(A64="","",IF(K64="Yes",AA64*POWER(0.5,AB64/10000),0))</x:f>
      </x:c>
      <x:c r="AD64" s="73" t="str">
        <x:f>IF(A64="","",IF(K64="Yes",N64*((1-1/(1+I64+J64+Settings!$B$11))-(1-1/(1+I64+J64))),0))</x:f>
      </x:c>
      <x:c r="AE64" s="73" t="str">
        <x:f>IF(A64="","",IF(AC64&gt;0,AD64/AC64,0))</x:f>
      </x:c>
      <x:c r="AF64" s="73" t="str">
        <x:f>IF(A64="","",IF(D64=0,0,MAX(0,(P64+S64-T64)/(D64*(1-(Settings!$B$19+IF(F64="Sell Order",Settings!$B$13,0)))))))</x:f>
      </x:c>
      <x:c r="AG64" s="50" t="str">
        <x:f>IF(A64="","",IF(P64+S64=0,0,Y64/(P64+S64)))</x:f>
      </x:c>
      <x:c r="AH64" s="48" t="str">
        <x:f>IF(A64="","",IF(Y64&gt;0,"PROFIT",IF(Y64&lt;0,"LOSS","BREAK-EVEN")))</x:f>
      </x:c>
    </x:row>
    <x:row r="65">
      <x:c r="A65" s="42"/>
      <x:c r="B65" s="42"/>
      <x:c r="C65" s="42"/>
      <x:c r="D65" s="42"/>
      <x:c r="E65" s="42"/>
      <x:c r="F65" s="42"/>
      <x:c r="G65" s="42"/>
      <x:c r="H65" s="72"/>
      <x:c r="I65" s="76"/>
      <x:c r="J65" s="76"/>
      <x:c r="K65" s="42"/>
      <x:c r="L65" s="50" t="str">
        <x:f>IF(A65="","",I65+J65+IF(K65="Yes",Settings!$B$11,0))</x:f>
      </x:c>
      <x:c r="M65" s="50" t="str">
        <x:f>IF(A65="","",1-1/(1+L65))</x:f>
      </x:c>
      <x:c r="N65" s="73" t="str">
        <x:f>IF(A65="","",SUMIFS('Recipe Lines'!$N$5:$N$504,'Recipe Lines'!$A$5:$A$504,A65,'Recipe Lines'!$H$5:$H$504,"Yes"))</x:f>
      </x:c>
      <x:c r="O65" s="73" t="str">
        <x:f>IF(A65="","",SUMIFS('Recipe Lines'!$N$5:$N$504,'Recipe Lines'!$A$5:$A$504,A65,'Recipe Lines'!$H$5:$H$504,"No"))</x:f>
      </x:c>
      <x:c r="P65" s="73" t="str">
        <x:f>IF(A65="","",N65*(1-M65)+O65)</x:f>
      </x:c>
      <x:c r="Q65" s="46"/>
      <x:c r="R65" s="72"/>
      <x:c r="S65" s="73" t="str">
        <x:f>IF(A65="","",R65*0.1125*Q65)</x:f>
      </x:c>
      <x:c r="T65" s="72"/>
      <x:c r="U65" s="73" t="str">
        <x:f>IF(A65="","",IF(H65&gt;0,H65,IF(F65="Sell Order",SUMIFS('Market Data'!$E$5:$E$504,'Market Data'!$A$5:$A$504,E65,'Market Data'!$B$5:$B$504,B65,'Market Data'!$D$5:$D$504,G65),SUMIFS('Market Data'!$F$5:$F$504,'Market Data'!$A$5:$A$504,E65,'Market Data'!$B$5:$B$504,B65,'Market Data'!$D$5:$D$504,G65))))</x:f>
      </x:c>
      <x:c r="V65" s="73" t="str">
        <x:f>IF(A65="","",U65*D65)</x:f>
      </x:c>
      <x:c r="W65" s="73" t="str">
        <x:f>IF(A65="","",V65*(Settings!$B$19+IF(F65="Sell Order",Settings!$B$13,0)))</x:f>
      </x:c>
      <x:c r="X65" s="73" t="str">
        <x:f>IF(A65="","",V65-W65+T65)</x:f>
      </x:c>
      <x:c r="Y65" s="73" t="str">
        <x:f>IF(A65="","",X65-P65-S65)</x:f>
      </x:c>
      <x:c r="Z65" s="50" t="str">
        <x:f>IF(A65="","",IF(V65=0,0,Y65/V65))</x:f>
      </x:c>
      <x:c r="AA65" s="72"/>
      <x:c r="AB65" s="68"/>
      <x:c r="AC65" s="73" t="str">
        <x:f>IF(A65="","",IF(K65="Yes",AA65*POWER(0.5,AB65/10000),0))</x:f>
      </x:c>
      <x:c r="AD65" s="73" t="str">
        <x:f>IF(A65="","",IF(K65="Yes",N65*((1-1/(1+I65+J65+Settings!$B$11))-(1-1/(1+I65+J65))),0))</x:f>
      </x:c>
      <x:c r="AE65" s="73" t="str">
        <x:f>IF(A65="","",IF(AC65&gt;0,AD65/AC65,0))</x:f>
      </x:c>
      <x:c r="AF65" s="73" t="str">
        <x:f>IF(A65="","",IF(D65=0,0,MAX(0,(P65+S65-T65)/(D65*(1-(Settings!$B$19+IF(F65="Sell Order",Settings!$B$13,0)))))))</x:f>
      </x:c>
      <x:c r="AG65" s="50" t="str">
        <x:f>IF(A65="","",IF(P65+S65=0,0,Y65/(P65+S65)))</x:f>
      </x:c>
      <x:c r="AH65" s="48" t="str">
        <x:f>IF(A65="","",IF(Y65&gt;0,"PROFIT",IF(Y65&lt;0,"LOSS","BREAK-EVEN")))</x:f>
      </x:c>
    </x:row>
    <x:row r="66">
      <x:c r="A66" s="42"/>
      <x:c r="B66" s="42"/>
      <x:c r="C66" s="42"/>
      <x:c r="D66" s="42"/>
      <x:c r="E66" s="42"/>
      <x:c r="F66" s="42"/>
      <x:c r="G66" s="42"/>
      <x:c r="H66" s="72"/>
      <x:c r="I66" s="76"/>
      <x:c r="J66" s="76"/>
      <x:c r="K66" s="42"/>
      <x:c r="L66" s="50" t="str">
        <x:f>IF(A66="","",I66+J66+IF(K66="Yes",Settings!$B$11,0))</x:f>
      </x:c>
      <x:c r="M66" s="50" t="str">
        <x:f>IF(A66="","",1-1/(1+L66))</x:f>
      </x:c>
      <x:c r="N66" s="73" t="str">
        <x:f>IF(A66="","",SUMIFS('Recipe Lines'!$N$5:$N$504,'Recipe Lines'!$A$5:$A$504,A66,'Recipe Lines'!$H$5:$H$504,"Yes"))</x:f>
      </x:c>
      <x:c r="O66" s="73" t="str">
        <x:f>IF(A66="","",SUMIFS('Recipe Lines'!$N$5:$N$504,'Recipe Lines'!$A$5:$A$504,A66,'Recipe Lines'!$H$5:$H$504,"No"))</x:f>
      </x:c>
      <x:c r="P66" s="73" t="str">
        <x:f>IF(A66="","",N66*(1-M66)+O66)</x:f>
      </x:c>
      <x:c r="Q66" s="46"/>
      <x:c r="R66" s="72"/>
      <x:c r="S66" s="73" t="str">
        <x:f>IF(A66="","",R66*0.1125*Q66)</x:f>
      </x:c>
      <x:c r="T66" s="72"/>
      <x:c r="U66" s="73" t="str">
        <x:f>IF(A66="","",IF(H66&gt;0,H66,IF(F66="Sell Order",SUMIFS('Market Data'!$E$5:$E$504,'Market Data'!$A$5:$A$504,E66,'Market Data'!$B$5:$B$504,B66,'Market Data'!$D$5:$D$504,G66),SUMIFS('Market Data'!$F$5:$F$504,'Market Data'!$A$5:$A$504,E66,'Market Data'!$B$5:$B$504,B66,'Market Data'!$D$5:$D$504,G66))))</x:f>
      </x:c>
      <x:c r="V66" s="73" t="str">
        <x:f>IF(A66="","",U66*D66)</x:f>
      </x:c>
      <x:c r="W66" s="73" t="str">
        <x:f>IF(A66="","",V66*(Settings!$B$19+IF(F66="Sell Order",Settings!$B$13,0)))</x:f>
      </x:c>
      <x:c r="X66" s="73" t="str">
        <x:f>IF(A66="","",V66-W66+T66)</x:f>
      </x:c>
      <x:c r="Y66" s="73" t="str">
        <x:f>IF(A66="","",X66-P66-S66)</x:f>
      </x:c>
      <x:c r="Z66" s="50" t="str">
        <x:f>IF(A66="","",IF(V66=0,0,Y66/V66))</x:f>
      </x:c>
      <x:c r="AA66" s="72"/>
      <x:c r="AB66" s="68"/>
      <x:c r="AC66" s="73" t="str">
        <x:f>IF(A66="","",IF(K66="Yes",AA66*POWER(0.5,AB66/10000),0))</x:f>
      </x:c>
      <x:c r="AD66" s="73" t="str">
        <x:f>IF(A66="","",IF(K66="Yes",N66*((1-1/(1+I66+J66+Settings!$B$11))-(1-1/(1+I66+J66))),0))</x:f>
      </x:c>
      <x:c r="AE66" s="73" t="str">
        <x:f>IF(A66="","",IF(AC66&gt;0,AD66/AC66,0))</x:f>
      </x:c>
      <x:c r="AF66" s="73" t="str">
        <x:f>IF(A66="","",IF(D66=0,0,MAX(0,(P66+S66-T66)/(D66*(1-(Settings!$B$19+IF(F66="Sell Order",Settings!$B$13,0)))))))</x:f>
      </x:c>
      <x:c r="AG66" s="50" t="str">
        <x:f>IF(A66="","",IF(P66+S66=0,0,Y66/(P66+S66)))</x:f>
      </x:c>
      <x:c r="AH66" s="48" t="str">
        <x:f>IF(A66="","",IF(Y66&gt;0,"PROFIT",IF(Y66&lt;0,"LOSS","BREAK-EVEN")))</x:f>
      </x:c>
    </x:row>
    <x:row r="67">
      <x:c r="A67" s="42"/>
      <x:c r="B67" s="42"/>
      <x:c r="C67" s="42"/>
      <x:c r="D67" s="42"/>
      <x:c r="E67" s="42"/>
      <x:c r="F67" s="42"/>
      <x:c r="G67" s="42"/>
      <x:c r="H67" s="72"/>
      <x:c r="I67" s="76"/>
      <x:c r="J67" s="76"/>
      <x:c r="K67" s="42"/>
      <x:c r="L67" s="50" t="str">
        <x:f>IF(A67="","",I67+J67+IF(K67="Yes",Settings!$B$11,0))</x:f>
      </x:c>
      <x:c r="M67" s="50" t="str">
        <x:f>IF(A67="","",1-1/(1+L67))</x:f>
      </x:c>
      <x:c r="N67" s="73" t="str">
        <x:f>IF(A67="","",SUMIFS('Recipe Lines'!$N$5:$N$504,'Recipe Lines'!$A$5:$A$504,A67,'Recipe Lines'!$H$5:$H$504,"Yes"))</x:f>
      </x:c>
      <x:c r="O67" s="73" t="str">
        <x:f>IF(A67="","",SUMIFS('Recipe Lines'!$N$5:$N$504,'Recipe Lines'!$A$5:$A$504,A67,'Recipe Lines'!$H$5:$H$504,"No"))</x:f>
      </x:c>
      <x:c r="P67" s="73" t="str">
        <x:f>IF(A67="","",N67*(1-M67)+O67)</x:f>
      </x:c>
      <x:c r="Q67" s="46"/>
      <x:c r="R67" s="72"/>
      <x:c r="S67" s="73" t="str">
        <x:f>IF(A67="","",R67*0.1125*Q67)</x:f>
      </x:c>
      <x:c r="T67" s="72"/>
      <x:c r="U67" s="73" t="str">
        <x:f>IF(A67="","",IF(H67&gt;0,H67,IF(F67="Sell Order",SUMIFS('Market Data'!$E$5:$E$504,'Market Data'!$A$5:$A$504,E67,'Market Data'!$B$5:$B$504,B67,'Market Data'!$D$5:$D$504,G67),SUMIFS('Market Data'!$F$5:$F$504,'Market Data'!$A$5:$A$504,E67,'Market Data'!$B$5:$B$504,B67,'Market Data'!$D$5:$D$504,G67))))</x:f>
      </x:c>
      <x:c r="V67" s="73" t="str">
        <x:f>IF(A67="","",U67*D67)</x:f>
      </x:c>
      <x:c r="W67" s="73" t="str">
        <x:f>IF(A67="","",V67*(Settings!$B$19+IF(F67="Sell Order",Settings!$B$13,0)))</x:f>
      </x:c>
      <x:c r="X67" s="73" t="str">
        <x:f>IF(A67="","",V67-W67+T67)</x:f>
      </x:c>
      <x:c r="Y67" s="73" t="str">
        <x:f>IF(A67="","",X67-P67-S67)</x:f>
      </x:c>
      <x:c r="Z67" s="50" t="str">
        <x:f>IF(A67="","",IF(V67=0,0,Y67/V67))</x:f>
      </x:c>
      <x:c r="AA67" s="72"/>
      <x:c r="AB67" s="68"/>
      <x:c r="AC67" s="73" t="str">
        <x:f>IF(A67="","",IF(K67="Yes",AA67*POWER(0.5,AB67/10000),0))</x:f>
      </x:c>
      <x:c r="AD67" s="73" t="str">
        <x:f>IF(A67="","",IF(K67="Yes",N67*((1-1/(1+I67+J67+Settings!$B$11))-(1-1/(1+I67+J67))),0))</x:f>
      </x:c>
      <x:c r="AE67" s="73" t="str">
        <x:f>IF(A67="","",IF(AC67&gt;0,AD67/AC67,0))</x:f>
      </x:c>
      <x:c r="AF67" s="73" t="str">
        <x:f>IF(A67="","",IF(D67=0,0,MAX(0,(P67+S67-T67)/(D67*(1-(Settings!$B$19+IF(F67="Sell Order",Settings!$B$13,0)))))))</x:f>
      </x:c>
      <x:c r="AG67" s="50" t="str">
        <x:f>IF(A67="","",IF(P67+S67=0,0,Y67/(P67+S67)))</x:f>
      </x:c>
      <x:c r="AH67" s="48" t="str">
        <x:f>IF(A67="","",IF(Y67&gt;0,"PROFIT",IF(Y67&lt;0,"LOSS","BREAK-EVEN")))</x:f>
      </x:c>
    </x:row>
    <x:row r="68">
      <x:c r="A68" s="42"/>
      <x:c r="B68" s="42"/>
      <x:c r="C68" s="42"/>
      <x:c r="D68" s="42"/>
      <x:c r="E68" s="42"/>
      <x:c r="F68" s="42"/>
      <x:c r="G68" s="42"/>
      <x:c r="H68" s="72"/>
      <x:c r="I68" s="76"/>
      <x:c r="J68" s="76"/>
      <x:c r="K68" s="42"/>
      <x:c r="L68" s="50" t="str">
        <x:f>IF(A68="","",I68+J68+IF(K68="Yes",Settings!$B$11,0))</x:f>
      </x:c>
      <x:c r="M68" s="50" t="str">
        <x:f>IF(A68="","",1-1/(1+L68))</x:f>
      </x:c>
      <x:c r="N68" s="73" t="str">
        <x:f>IF(A68="","",SUMIFS('Recipe Lines'!$N$5:$N$504,'Recipe Lines'!$A$5:$A$504,A68,'Recipe Lines'!$H$5:$H$504,"Yes"))</x:f>
      </x:c>
      <x:c r="O68" s="73" t="str">
        <x:f>IF(A68="","",SUMIFS('Recipe Lines'!$N$5:$N$504,'Recipe Lines'!$A$5:$A$504,A68,'Recipe Lines'!$H$5:$H$504,"No"))</x:f>
      </x:c>
      <x:c r="P68" s="73" t="str">
        <x:f>IF(A68="","",N68*(1-M68)+O68)</x:f>
      </x:c>
      <x:c r="Q68" s="46"/>
      <x:c r="R68" s="72"/>
      <x:c r="S68" s="73" t="str">
        <x:f>IF(A68="","",R68*0.1125*Q68)</x:f>
      </x:c>
      <x:c r="T68" s="72"/>
      <x:c r="U68" s="73" t="str">
        <x:f>IF(A68="","",IF(H68&gt;0,H68,IF(F68="Sell Order",SUMIFS('Market Data'!$E$5:$E$504,'Market Data'!$A$5:$A$504,E68,'Market Data'!$B$5:$B$504,B68,'Market Data'!$D$5:$D$504,G68),SUMIFS('Market Data'!$F$5:$F$504,'Market Data'!$A$5:$A$504,E68,'Market Data'!$B$5:$B$504,B68,'Market Data'!$D$5:$D$504,G68))))</x:f>
      </x:c>
      <x:c r="V68" s="73" t="str">
        <x:f>IF(A68="","",U68*D68)</x:f>
      </x:c>
      <x:c r="W68" s="73" t="str">
        <x:f>IF(A68="","",V68*(Settings!$B$19+IF(F68="Sell Order",Settings!$B$13,0)))</x:f>
      </x:c>
      <x:c r="X68" s="73" t="str">
        <x:f>IF(A68="","",V68-W68+T68)</x:f>
      </x:c>
      <x:c r="Y68" s="73" t="str">
        <x:f>IF(A68="","",X68-P68-S68)</x:f>
      </x:c>
      <x:c r="Z68" s="50" t="str">
        <x:f>IF(A68="","",IF(V68=0,0,Y68/V68))</x:f>
      </x:c>
      <x:c r="AA68" s="72"/>
      <x:c r="AB68" s="68"/>
      <x:c r="AC68" s="73" t="str">
        <x:f>IF(A68="","",IF(K68="Yes",AA68*POWER(0.5,AB68/10000),0))</x:f>
      </x:c>
      <x:c r="AD68" s="73" t="str">
        <x:f>IF(A68="","",IF(K68="Yes",N68*((1-1/(1+I68+J68+Settings!$B$11))-(1-1/(1+I68+J68))),0))</x:f>
      </x:c>
      <x:c r="AE68" s="73" t="str">
        <x:f>IF(A68="","",IF(AC68&gt;0,AD68/AC68,0))</x:f>
      </x:c>
      <x:c r="AF68" s="73" t="str">
        <x:f>IF(A68="","",IF(D68=0,0,MAX(0,(P68+S68-T68)/(D68*(1-(Settings!$B$19+IF(F68="Sell Order",Settings!$B$13,0)))))))</x:f>
      </x:c>
      <x:c r="AG68" s="50" t="str">
        <x:f>IF(A68="","",IF(P68+S68=0,0,Y68/(P68+S68)))</x:f>
      </x:c>
      <x:c r="AH68" s="48" t="str">
        <x:f>IF(A68="","",IF(Y68&gt;0,"PROFIT",IF(Y68&lt;0,"LOSS","BREAK-EVEN")))</x:f>
      </x:c>
    </x:row>
    <x:row r="69">
      <x:c r="A69" s="42"/>
      <x:c r="B69" s="42"/>
      <x:c r="C69" s="42"/>
      <x:c r="D69" s="42"/>
      <x:c r="E69" s="42"/>
      <x:c r="F69" s="42"/>
      <x:c r="G69" s="42"/>
      <x:c r="H69" s="72"/>
      <x:c r="I69" s="76"/>
      <x:c r="J69" s="76"/>
      <x:c r="K69" s="42"/>
      <x:c r="L69" s="50" t="str">
        <x:f>IF(A69="","",I69+J69+IF(K69="Yes",Settings!$B$11,0))</x:f>
      </x:c>
      <x:c r="M69" s="50" t="str">
        <x:f>IF(A69="","",1-1/(1+L69))</x:f>
      </x:c>
      <x:c r="N69" s="73" t="str">
        <x:f>IF(A69="","",SUMIFS('Recipe Lines'!$N$5:$N$504,'Recipe Lines'!$A$5:$A$504,A69,'Recipe Lines'!$H$5:$H$504,"Yes"))</x:f>
      </x:c>
      <x:c r="O69" s="73" t="str">
        <x:f>IF(A69="","",SUMIFS('Recipe Lines'!$N$5:$N$504,'Recipe Lines'!$A$5:$A$504,A69,'Recipe Lines'!$H$5:$H$504,"No"))</x:f>
      </x:c>
      <x:c r="P69" s="73" t="str">
        <x:f>IF(A69="","",N69*(1-M69)+O69)</x:f>
      </x:c>
      <x:c r="Q69" s="46"/>
      <x:c r="R69" s="72"/>
      <x:c r="S69" s="73" t="str">
        <x:f>IF(A69="","",R69*0.1125*Q69)</x:f>
      </x:c>
      <x:c r="T69" s="72"/>
      <x:c r="U69" s="73" t="str">
        <x:f>IF(A69="","",IF(H69&gt;0,H69,IF(F69="Sell Order",SUMIFS('Market Data'!$E$5:$E$504,'Market Data'!$A$5:$A$504,E69,'Market Data'!$B$5:$B$504,B69,'Market Data'!$D$5:$D$504,G69),SUMIFS('Market Data'!$F$5:$F$504,'Market Data'!$A$5:$A$504,E69,'Market Data'!$B$5:$B$504,B69,'Market Data'!$D$5:$D$504,G69))))</x:f>
      </x:c>
      <x:c r="V69" s="73" t="str">
        <x:f>IF(A69="","",U69*D69)</x:f>
      </x:c>
      <x:c r="W69" s="73" t="str">
        <x:f>IF(A69="","",V69*(Settings!$B$19+IF(F69="Sell Order",Settings!$B$13,0)))</x:f>
      </x:c>
      <x:c r="X69" s="73" t="str">
        <x:f>IF(A69="","",V69-W69+T69)</x:f>
      </x:c>
      <x:c r="Y69" s="73" t="str">
        <x:f>IF(A69="","",X69-P69-S69)</x:f>
      </x:c>
      <x:c r="Z69" s="50" t="str">
        <x:f>IF(A69="","",IF(V69=0,0,Y69/V69))</x:f>
      </x:c>
      <x:c r="AA69" s="72"/>
      <x:c r="AB69" s="68"/>
      <x:c r="AC69" s="73" t="str">
        <x:f>IF(A69="","",IF(K69="Yes",AA69*POWER(0.5,AB69/10000),0))</x:f>
      </x:c>
      <x:c r="AD69" s="73" t="str">
        <x:f>IF(A69="","",IF(K69="Yes",N69*((1-1/(1+I69+J69+Settings!$B$11))-(1-1/(1+I69+J69))),0))</x:f>
      </x:c>
      <x:c r="AE69" s="73" t="str">
        <x:f>IF(A69="","",IF(AC69&gt;0,AD69/AC69,0))</x:f>
      </x:c>
      <x:c r="AF69" s="73" t="str">
        <x:f>IF(A69="","",IF(D69=0,0,MAX(0,(P69+S69-T69)/(D69*(1-(Settings!$B$19+IF(F69="Sell Order",Settings!$B$13,0)))))))</x:f>
      </x:c>
      <x:c r="AG69" s="50" t="str">
        <x:f>IF(A69="","",IF(P69+S69=0,0,Y69/(P69+S69)))</x:f>
      </x:c>
      <x:c r="AH69" s="48" t="str">
        <x:f>IF(A69="","",IF(Y69&gt;0,"PROFIT",IF(Y69&lt;0,"LOSS","BREAK-EVEN")))</x:f>
      </x:c>
    </x:row>
    <x:row r="70">
      <x:c r="A70" s="42"/>
      <x:c r="B70" s="42"/>
      <x:c r="C70" s="42"/>
      <x:c r="D70" s="42"/>
      <x:c r="E70" s="42"/>
      <x:c r="F70" s="42"/>
      <x:c r="G70" s="42"/>
      <x:c r="H70" s="72"/>
      <x:c r="I70" s="76"/>
      <x:c r="J70" s="76"/>
      <x:c r="K70" s="42"/>
      <x:c r="L70" s="50" t="str">
        <x:f>IF(A70="","",I70+J70+IF(K70="Yes",Settings!$B$11,0))</x:f>
      </x:c>
      <x:c r="M70" s="50" t="str">
        <x:f>IF(A70="","",1-1/(1+L70))</x:f>
      </x:c>
      <x:c r="N70" s="73" t="str">
        <x:f>IF(A70="","",SUMIFS('Recipe Lines'!$N$5:$N$504,'Recipe Lines'!$A$5:$A$504,A70,'Recipe Lines'!$H$5:$H$504,"Yes"))</x:f>
      </x:c>
      <x:c r="O70" s="73" t="str">
        <x:f>IF(A70="","",SUMIFS('Recipe Lines'!$N$5:$N$504,'Recipe Lines'!$A$5:$A$504,A70,'Recipe Lines'!$H$5:$H$504,"No"))</x:f>
      </x:c>
      <x:c r="P70" s="73" t="str">
        <x:f>IF(A70="","",N70*(1-M70)+O70)</x:f>
      </x:c>
      <x:c r="Q70" s="46"/>
      <x:c r="R70" s="72"/>
      <x:c r="S70" s="73" t="str">
        <x:f>IF(A70="","",R70*0.1125*Q70)</x:f>
      </x:c>
      <x:c r="T70" s="72"/>
      <x:c r="U70" s="73" t="str">
        <x:f>IF(A70="","",IF(H70&gt;0,H70,IF(F70="Sell Order",SUMIFS('Market Data'!$E$5:$E$504,'Market Data'!$A$5:$A$504,E70,'Market Data'!$B$5:$B$504,B70,'Market Data'!$D$5:$D$504,G70),SUMIFS('Market Data'!$F$5:$F$504,'Market Data'!$A$5:$A$504,E70,'Market Data'!$B$5:$B$504,B70,'Market Data'!$D$5:$D$504,G70))))</x:f>
      </x:c>
      <x:c r="V70" s="73" t="str">
        <x:f>IF(A70="","",U70*D70)</x:f>
      </x:c>
      <x:c r="W70" s="73" t="str">
        <x:f>IF(A70="","",V70*(Settings!$B$19+IF(F70="Sell Order",Settings!$B$13,0)))</x:f>
      </x:c>
      <x:c r="X70" s="73" t="str">
        <x:f>IF(A70="","",V70-W70+T70)</x:f>
      </x:c>
      <x:c r="Y70" s="73" t="str">
        <x:f>IF(A70="","",X70-P70-S70)</x:f>
      </x:c>
      <x:c r="Z70" s="50" t="str">
        <x:f>IF(A70="","",IF(V70=0,0,Y70/V70))</x:f>
      </x:c>
      <x:c r="AA70" s="72"/>
      <x:c r="AB70" s="68"/>
      <x:c r="AC70" s="73" t="str">
        <x:f>IF(A70="","",IF(K70="Yes",AA70*POWER(0.5,AB70/10000),0))</x:f>
      </x:c>
      <x:c r="AD70" s="73" t="str">
        <x:f>IF(A70="","",IF(K70="Yes",N70*((1-1/(1+I70+J70+Settings!$B$11))-(1-1/(1+I70+J70))),0))</x:f>
      </x:c>
      <x:c r="AE70" s="73" t="str">
        <x:f>IF(A70="","",IF(AC70&gt;0,AD70/AC70,0))</x:f>
      </x:c>
      <x:c r="AF70" s="73" t="str">
        <x:f>IF(A70="","",IF(D70=0,0,MAX(0,(P70+S70-T70)/(D70*(1-(Settings!$B$19+IF(F70="Sell Order",Settings!$B$13,0)))))))</x:f>
      </x:c>
      <x:c r="AG70" s="50" t="str">
        <x:f>IF(A70="","",IF(P70+S70=0,0,Y70/(P70+S70)))</x:f>
      </x:c>
      <x:c r="AH70" s="48" t="str">
        <x:f>IF(A70="","",IF(Y70&gt;0,"PROFIT",IF(Y70&lt;0,"LOSS","BREAK-EVEN")))</x:f>
      </x:c>
    </x:row>
    <x:row r="71">
      <x:c r="A71" s="42"/>
      <x:c r="B71" s="42"/>
      <x:c r="C71" s="42"/>
      <x:c r="D71" s="42"/>
      <x:c r="E71" s="42"/>
      <x:c r="F71" s="42"/>
      <x:c r="G71" s="42"/>
      <x:c r="H71" s="72"/>
      <x:c r="I71" s="76"/>
      <x:c r="J71" s="76"/>
      <x:c r="K71" s="42"/>
      <x:c r="L71" s="50" t="str">
        <x:f>IF(A71="","",I71+J71+IF(K71="Yes",Settings!$B$11,0))</x:f>
      </x:c>
      <x:c r="M71" s="50" t="str">
        <x:f>IF(A71="","",1-1/(1+L71))</x:f>
      </x:c>
      <x:c r="N71" s="73" t="str">
        <x:f>IF(A71="","",SUMIFS('Recipe Lines'!$N$5:$N$504,'Recipe Lines'!$A$5:$A$504,A71,'Recipe Lines'!$H$5:$H$504,"Yes"))</x:f>
      </x:c>
      <x:c r="O71" s="73" t="str">
        <x:f>IF(A71="","",SUMIFS('Recipe Lines'!$N$5:$N$504,'Recipe Lines'!$A$5:$A$504,A71,'Recipe Lines'!$H$5:$H$504,"No"))</x:f>
      </x:c>
      <x:c r="P71" s="73" t="str">
        <x:f>IF(A71="","",N71*(1-M71)+O71)</x:f>
      </x:c>
      <x:c r="Q71" s="46"/>
      <x:c r="R71" s="72"/>
      <x:c r="S71" s="73" t="str">
        <x:f>IF(A71="","",R71*0.1125*Q71)</x:f>
      </x:c>
      <x:c r="T71" s="72"/>
      <x:c r="U71" s="73" t="str">
        <x:f>IF(A71="","",IF(H71&gt;0,H71,IF(F71="Sell Order",SUMIFS('Market Data'!$E$5:$E$504,'Market Data'!$A$5:$A$504,E71,'Market Data'!$B$5:$B$504,B71,'Market Data'!$D$5:$D$504,G71),SUMIFS('Market Data'!$F$5:$F$504,'Market Data'!$A$5:$A$504,E71,'Market Data'!$B$5:$B$504,B71,'Market Data'!$D$5:$D$504,G71))))</x:f>
      </x:c>
      <x:c r="V71" s="73" t="str">
        <x:f>IF(A71="","",U71*D71)</x:f>
      </x:c>
      <x:c r="W71" s="73" t="str">
        <x:f>IF(A71="","",V71*(Settings!$B$19+IF(F71="Sell Order",Settings!$B$13,0)))</x:f>
      </x:c>
      <x:c r="X71" s="73" t="str">
        <x:f>IF(A71="","",V71-W71+T71)</x:f>
      </x:c>
      <x:c r="Y71" s="73" t="str">
        <x:f>IF(A71="","",X71-P71-S71)</x:f>
      </x:c>
      <x:c r="Z71" s="50" t="str">
        <x:f>IF(A71="","",IF(V71=0,0,Y71/V71))</x:f>
      </x:c>
      <x:c r="AA71" s="72"/>
      <x:c r="AB71" s="68"/>
      <x:c r="AC71" s="73" t="str">
        <x:f>IF(A71="","",IF(K71="Yes",AA71*POWER(0.5,AB71/10000),0))</x:f>
      </x:c>
      <x:c r="AD71" s="73" t="str">
        <x:f>IF(A71="","",IF(K71="Yes",N71*((1-1/(1+I71+J71+Settings!$B$11))-(1-1/(1+I71+J71))),0))</x:f>
      </x:c>
      <x:c r="AE71" s="73" t="str">
        <x:f>IF(A71="","",IF(AC71&gt;0,AD71/AC71,0))</x:f>
      </x:c>
      <x:c r="AF71" s="73" t="str">
        <x:f>IF(A71="","",IF(D71=0,0,MAX(0,(P71+S71-T71)/(D71*(1-(Settings!$B$19+IF(F71="Sell Order",Settings!$B$13,0)))))))</x:f>
      </x:c>
      <x:c r="AG71" s="50" t="str">
        <x:f>IF(A71="","",IF(P71+S71=0,0,Y71/(P71+S71)))</x:f>
      </x:c>
      <x:c r="AH71" s="48" t="str">
        <x:f>IF(A71="","",IF(Y71&gt;0,"PROFIT",IF(Y71&lt;0,"LOSS","BREAK-EVEN")))</x:f>
      </x:c>
    </x:row>
    <x:row r="72">
      <x:c r="A72" s="42"/>
      <x:c r="B72" s="42"/>
      <x:c r="C72" s="42"/>
      <x:c r="D72" s="42"/>
      <x:c r="E72" s="42"/>
      <x:c r="F72" s="42"/>
      <x:c r="G72" s="42"/>
      <x:c r="H72" s="72"/>
      <x:c r="I72" s="76"/>
      <x:c r="J72" s="76"/>
      <x:c r="K72" s="42"/>
      <x:c r="L72" s="50" t="str">
        <x:f>IF(A72="","",I72+J72+IF(K72="Yes",Settings!$B$11,0))</x:f>
      </x:c>
      <x:c r="M72" s="50" t="str">
        <x:f>IF(A72="","",1-1/(1+L72))</x:f>
      </x:c>
      <x:c r="N72" s="73" t="str">
        <x:f>IF(A72="","",SUMIFS('Recipe Lines'!$N$5:$N$504,'Recipe Lines'!$A$5:$A$504,A72,'Recipe Lines'!$H$5:$H$504,"Yes"))</x:f>
      </x:c>
      <x:c r="O72" s="73" t="str">
        <x:f>IF(A72="","",SUMIFS('Recipe Lines'!$N$5:$N$504,'Recipe Lines'!$A$5:$A$504,A72,'Recipe Lines'!$H$5:$H$504,"No"))</x:f>
      </x:c>
      <x:c r="P72" s="73" t="str">
        <x:f>IF(A72="","",N72*(1-M72)+O72)</x:f>
      </x:c>
      <x:c r="Q72" s="46"/>
      <x:c r="R72" s="72"/>
      <x:c r="S72" s="73" t="str">
        <x:f>IF(A72="","",R72*0.1125*Q72)</x:f>
      </x:c>
      <x:c r="T72" s="72"/>
      <x:c r="U72" s="73" t="str">
        <x:f>IF(A72="","",IF(H72&gt;0,H72,IF(F72="Sell Order",SUMIFS('Market Data'!$E$5:$E$504,'Market Data'!$A$5:$A$504,E72,'Market Data'!$B$5:$B$504,B72,'Market Data'!$D$5:$D$504,G72),SUMIFS('Market Data'!$F$5:$F$504,'Market Data'!$A$5:$A$504,E72,'Market Data'!$B$5:$B$504,B72,'Market Data'!$D$5:$D$504,G72))))</x:f>
      </x:c>
      <x:c r="V72" s="73" t="str">
        <x:f>IF(A72="","",U72*D72)</x:f>
      </x:c>
      <x:c r="W72" s="73" t="str">
        <x:f>IF(A72="","",V72*(Settings!$B$19+IF(F72="Sell Order",Settings!$B$13,0)))</x:f>
      </x:c>
      <x:c r="X72" s="73" t="str">
        <x:f>IF(A72="","",V72-W72+T72)</x:f>
      </x:c>
      <x:c r="Y72" s="73" t="str">
        <x:f>IF(A72="","",X72-P72-S72)</x:f>
      </x:c>
      <x:c r="Z72" s="50" t="str">
        <x:f>IF(A72="","",IF(V72=0,0,Y72/V72))</x:f>
      </x:c>
      <x:c r="AA72" s="72"/>
      <x:c r="AB72" s="68"/>
      <x:c r="AC72" s="73" t="str">
        <x:f>IF(A72="","",IF(K72="Yes",AA72*POWER(0.5,AB72/10000),0))</x:f>
      </x:c>
      <x:c r="AD72" s="73" t="str">
        <x:f>IF(A72="","",IF(K72="Yes",N72*((1-1/(1+I72+J72+Settings!$B$11))-(1-1/(1+I72+J72))),0))</x:f>
      </x:c>
      <x:c r="AE72" s="73" t="str">
        <x:f>IF(A72="","",IF(AC72&gt;0,AD72/AC72,0))</x:f>
      </x:c>
      <x:c r="AF72" s="73" t="str">
        <x:f>IF(A72="","",IF(D72=0,0,MAX(0,(P72+S72-T72)/(D72*(1-(Settings!$B$19+IF(F72="Sell Order",Settings!$B$13,0)))))))</x:f>
      </x:c>
      <x:c r="AG72" s="50" t="str">
        <x:f>IF(A72="","",IF(P72+S72=0,0,Y72/(P72+S72)))</x:f>
      </x:c>
      <x:c r="AH72" s="48" t="str">
        <x:f>IF(A72="","",IF(Y72&gt;0,"PROFIT",IF(Y72&lt;0,"LOSS","BREAK-EVEN")))</x:f>
      </x:c>
    </x:row>
    <x:row r="73">
      <x:c r="A73" s="42"/>
      <x:c r="B73" s="42"/>
      <x:c r="C73" s="42"/>
      <x:c r="D73" s="42"/>
      <x:c r="E73" s="42"/>
      <x:c r="F73" s="42"/>
      <x:c r="G73" s="42"/>
      <x:c r="H73" s="72"/>
      <x:c r="I73" s="76"/>
      <x:c r="J73" s="76"/>
      <x:c r="K73" s="42"/>
      <x:c r="L73" s="50" t="str">
        <x:f>IF(A73="","",I73+J73+IF(K73="Yes",Settings!$B$11,0))</x:f>
      </x:c>
      <x:c r="M73" s="50" t="str">
        <x:f>IF(A73="","",1-1/(1+L73))</x:f>
      </x:c>
      <x:c r="N73" s="73" t="str">
        <x:f>IF(A73="","",SUMIFS('Recipe Lines'!$N$5:$N$504,'Recipe Lines'!$A$5:$A$504,A73,'Recipe Lines'!$H$5:$H$504,"Yes"))</x:f>
      </x:c>
      <x:c r="O73" s="73" t="str">
        <x:f>IF(A73="","",SUMIFS('Recipe Lines'!$N$5:$N$504,'Recipe Lines'!$A$5:$A$504,A73,'Recipe Lines'!$H$5:$H$504,"No"))</x:f>
      </x:c>
      <x:c r="P73" s="73" t="str">
        <x:f>IF(A73="","",N73*(1-M73)+O73)</x:f>
      </x:c>
      <x:c r="Q73" s="46"/>
      <x:c r="R73" s="72"/>
      <x:c r="S73" s="73" t="str">
        <x:f>IF(A73="","",R73*0.1125*Q73)</x:f>
      </x:c>
      <x:c r="T73" s="72"/>
      <x:c r="U73" s="73" t="str">
        <x:f>IF(A73="","",IF(H73&gt;0,H73,IF(F73="Sell Order",SUMIFS('Market Data'!$E$5:$E$504,'Market Data'!$A$5:$A$504,E73,'Market Data'!$B$5:$B$504,B73,'Market Data'!$D$5:$D$504,G73),SUMIFS('Market Data'!$F$5:$F$504,'Market Data'!$A$5:$A$504,E73,'Market Data'!$B$5:$B$504,B73,'Market Data'!$D$5:$D$504,G73))))</x:f>
      </x:c>
      <x:c r="V73" s="73" t="str">
        <x:f>IF(A73="","",U73*D73)</x:f>
      </x:c>
      <x:c r="W73" s="73" t="str">
        <x:f>IF(A73="","",V73*(Settings!$B$19+IF(F73="Sell Order",Settings!$B$13,0)))</x:f>
      </x:c>
      <x:c r="X73" s="73" t="str">
        <x:f>IF(A73="","",V73-W73+T73)</x:f>
      </x:c>
      <x:c r="Y73" s="73" t="str">
        <x:f>IF(A73="","",X73-P73-S73)</x:f>
      </x:c>
      <x:c r="Z73" s="50" t="str">
        <x:f>IF(A73="","",IF(V73=0,0,Y73/V73))</x:f>
      </x:c>
      <x:c r="AA73" s="72"/>
      <x:c r="AB73" s="68"/>
      <x:c r="AC73" s="73" t="str">
        <x:f>IF(A73="","",IF(K73="Yes",AA73*POWER(0.5,AB73/10000),0))</x:f>
      </x:c>
      <x:c r="AD73" s="73" t="str">
        <x:f>IF(A73="","",IF(K73="Yes",N73*((1-1/(1+I73+J73+Settings!$B$11))-(1-1/(1+I73+J73))),0))</x:f>
      </x:c>
      <x:c r="AE73" s="73" t="str">
        <x:f>IF(A73="","",IF(AC73&gt;0,AD73/AC73,0))</x:f>
      </x:c>
      <x:c r="AF73" s="73" t="str">
        <x:f>IF(A73="","",IF(D73=0,0,MAX(0,(P73+S73-T73)/(D73*(1-(Settings!$B$19+IF(F73="Sell Order",Settings!$B$13,0)))))))</x:f>
      </x:c>
      <x:c r="AG73" s="50" t="str">
        <x:f>IF(A73="","",IF(P73+S73=0,0,Y73/(P73+S73)))</x:f>
      </x:c>
      <x:c r="AH73" s="48" t="str">
        <x:f>IF(A73="","",IF(Y73&gt;0,"PROFIT",IF(Y73&lt;0,"LOSS","BREAK-EVEN")))</x:f>
      </x:c>
    </x:row>
    <x:row r="74">
      <x:c r="A74" s="42"/>
      <x:c r="B74" s="42"/>
      <x:c r="C74" s="42"/>
      <x:c r="D74" s="42"/>
      <x:c r="E74" s="42"/>
      <x:c r="F74" s="42"/>
      <x:c r="G74" s="42"/>
      <x:c r="H74" s="72"/>
      <x:c r="I74" s="76"/>
      <x:c r="J74" s="76"/>
      <x:c r="K74" s="42"/>
      <x:c r="L74" s="50" t="str">
        <x:f>IF(A74="","",I74+J74+IF(K74="Yes",Settings!$B$11,0))</x:f>
      </x:c>
      <x:c r="M74" s="50" t="str">
        <x:f>IF(A74="","",1-1/(1+L74))</x:f>
      </x:c>
      <x:c r="N74" s="73" t="str">
        <x:f>IF(A74="","",SUMIFS('Recipe Lines'!$N$5:$N$504,'Recipe Lines'!$A$5:$A$504,A74,'Recipe Lines'!$H$5:$H$504,"Yes"))</x:f>
      </x:c>
      <x:c r="O74" s="73" t="str">
        <x:f>IF(A74="","",SUMIFS('Recipe Lines'!$N$5:$N$504,'Recipe Lines'!$A$5:$A$504,A74,'Recipe Lines'!$H$5:$H$504,"No"))</x:f>
      </x:c>
      <x:c r="P74" s="73" t="str">
        <x:f>IF(A74="","",N74*(1-M74)+O74)</x:f>
      </x:c>
      <x:c r="Q74" s="46"/>
      <x:c r="R74" s="72"/>
      <x:c r="S74" s="73" t="str">
        <x:f>IF(A74="","",R74*0.1125*Q74)</x:f>
      </x:c>
      <x:c r="T74" s="72"/>
      <x:c r="U74" s="73" t="str">
        <x:f>IF(A74="","",IF(H74&gt;0,H74,IF(F74="Sell Order",SUMIFS('Market Data'!$E$5:$E$504,'Market Data'!$A$5:$A$504,E74,'Market Data'!$B$5:$B$504,B74,'Market Data'!$D$5:$D$504,G74),SUMIFS('Market Data'!$F$5:$F$504,'Market Data'!$A$5:$A$504,E74,'Market Data'!$B$5:$B$504,B74,'Market Data'!$D$5:$D$504,G74))))</x:f>
      </x:c>
      <x:c r="V74" s="73" t="str">
        <x:f>IF(A74="","",U74*D74)</x:f>
      </x:c>
      <x:c r="W74" s="73" t="str">
        <x:f>IF(A74="","",V74*(Settings!$B$19+IF(F74="Sell Order",Settings!$B$13,0)))</x:f>
      </x:c>
      <x:c r="X74" s="73" t="str">
        <x:f>IF(A74="","",V74-W74+T74)</x:f>
      </x:c>
      <x:c r="Y74" s="73" t="str">
        <x:f>IF(A74="","",X74-P74-S74)</x:f>
      </x:c>
      <x:c r="Z74" s="50" t="str">
        <x:f>IF(A74="","",IF(V74=0,0,Y74/V74))</x:f>
      </x:c>
      <x:c r="AA74" s="72"/>
      <x:c r="AB74" s="68"/>
      <x:c r="AC74" s="73" t="str">
        <x:f>IF(A74="","",IF(K74="Yes",AA74*POWER(0.5,AB74/10000),0))</x:f>
      </x:c>
      <x:c r="AD74" s="73" t="str">
        <x:f>IF(A74="","",IF(K74="Yes",N74*((1-1/(1+I74+J74+Settings!$B$11))-(1-1/(1+I74+J74))),0))</x:f>
      </x:c>
      <x:c r="AE74" s="73" t="str">
        <x:f>IF(A74="","",IF(AC74&gt;0,AD74/AC74,0))</x:f>
      </x:c>
      <x:c r="AF74" s="73" t="str">
        <x:f>IF(A74="","",IF(D74=0,0,MAX(0,(P74+S74-T74)/(D74*(1-(Settings!$B$19+IF(F74="Sell Order",Settings!$B$13,0)))))))</x:f>
      </x:c>
      <x:c r="AG74" s="50" t="str">
        <x:f>IF(A74="","",IF(P74+S74=0,0,Y74/(P74+S74)))</x:f>
      </x:c>
      <x:c r="AH74" s="48" t="str">
        <x:f>IF(A74="","",IF(Y74&gt;0,"PROFIT",IF(Y74&lt;0,"LOSS","BREAK-EVEN")))</x:f>
      </x:c>
    </x:row>
    <x:row r="75">
      <x:c r="A75" s="42"/>
      <x:c r="B75" s="42"/>
      <x:c r="C75" s="42"/>
      <x:c r="D75" s="42"/>
      <x:c r="E75" s="42"/>
      <x:c r="F75" s="42"/>
      <x:c r="G75" s="42"/>
      <x:c r="H75" s="72"/>
      <x:c r="I75" s="76"/>
      <x:c r="J75" s="76"/>
      <x:c r="K75" s="42"/>
      <x:c r="L75" s="50" t="str">
        <x:f>IF(A75="","",I75+J75+IF(K75="Yes",Settings!$B$11,0))</x:f>
      </x:c>
      <x:c r="M75" s="50" t="str">
        <x:f>IF(A75="","",1-1/(1+L75))</x:f>
      </x:c>
      <x:c r="N75" s="73" t="str">
        <x:f>IF(A75="","",SUMIFS('Recipe Lines'!$N$5:$N$504,'Recipe Lines'!$A$5:$A$504,A75,'Recipe Lines'!$H$5:$H$504,"Yes"))</x:f>
      </x:c>
      <x:c r="O75" s="73" t="str">
        <x:f>IF(A75="","",SUMIFS('Recipe Lines'!$N$5:$N$504,'Recipe Lines'!$A$5:$A$504,A75,'Recipe Lines'!$H$5:$H$504,"No"))</x:f>
      </x:c>
      <x:c r="P75" s="73" t="str">
        <x:f>IF(A75="","",N75*(1-M75)+O75)</x:f>
      </x:c>
      <x:c r="Q75" s="46"/>
      <x:c r="R75" s="72"/>
      <x:c r="S75" s="73" t="str">
        <x:f>IF(A75="","",R75*0.1125*Q75)</x:f>
      </x:c>
      <x:c r="T75" s="72"/>
      <x:c r="U75" s="73" t="str">
        <x:f>IF(A75="","",IF(H75&gt;0,H75,IF(F75="Sell Order",SUMIFS('Market Data'!$E$5:$E$504,'Market Data'!$A$5:$A$504,E75,'Market Data'!$B$5:$B$504,B75,'Market Data'!$D$5:$D$504,G75),SUMIFS('Market Data'!$F$5:$F$504,'Market Data'!$A$5:$A$504,E75,'Market Data'!$B$5:$B$504,B75,'Market Data'!$D$5:$D$504,G75))))</x:f>
      </x:c>
      <x:c r="V75" s="73" t="str">
        <x:f>IF(A75="","",U75*D75)</x:f>
      </x:c>
      <x:c r="W75" s="73" t="str">
        <x:f>IF(A75="","",V75*(Settings!$B$19+IF(F75="Sell Order",Settings!$B$13,0)))</x:f>
      </x:c>
      <x:c r="X75" s="73" t="str">
        <x:f>IF(A75="","",V75-W75+T75)</x:f>
      </x:c>
      <x:c r="Y75" s="73" t="str">
        <x:f>IF(A75="","",X75-P75-S75)</x:f>
      </x:c>
      <x:c r="Z75" s="50" t="str">
        <x:f>IF(A75="","",IF(V75=0,0,Y75/V75))</x:f>
      </x:c>
      <x:c r="AA75" s="72"/>
      <x:c r="AB75" s="68"/>
      <x:c r="AC75" s="73" t="str">
        <x:f>IF(A75="","",IF(K75="Yes",AA75*POWER(0.5,AB75/10000),0))</x:f>
      </x:c>
      <x:c r="AD75" s="73" t="str">
        <x:f>IF(A75="","",IF(K75="Yes",N75*((1-1/(1+I75+J75+Settings!$B$11))-(1-1/(1+I75+J75))),0))</x:f>
      </x:c>
      <x:c r="AE75" s="73" t="str">
        <x:f>IF(A75="","",IF(AC75&gt;0,AD75/AC75,0))</x:f>
      </x:c>
      <x:c r="AF75" s="73" t="str">
        <x:f>IF(A75="","",IF(D75=0,0,MAX(0,(P75+S75-T75)/(D75*(1-(Settings!$B$19+IF(F75="Sell Order",Settings!$B$13,0)))))))</x:f>
      </x:c>
      <x:c r="AG75" s="50" t="str">
        <x:f>IF(A75="","",IF(P75+S75=0,0,Y75/(P75+S75)))</x:f>
      </x:c>
      <x:c r="AH75" s="48" t="str">
        <x:f>IF(A75="","",IF(Y75&gt;0,"PROFIT",IF(Y75&lt;0,"LOSS","BREAK-EVEN")))</x:f>
      </x:c>
    </x:row>
    <x:row r="76">
      <x:c r="A76" s="42"/>
      <x:c r="B76" s="42"/>
      <x:c r="C76" s="42"/>
      <x:c r="D76" s="42"/>
      <x:c r="E76" s="42"/>
      <x:c r="F76" s="42"/>
      <x:c r="G76" s="42"/>
      <x:c r="H76" s="72"/>
      <x:c r="I76" s="76"/>
      <x:c r="J76" s="76"/>
      <x:c r="K76" s="42"/>
      <x:c r="L76" s="50" t="str">
        <x:f>IF(A76="","",I76+J76+IF(K76="Yes",Settings!$B$11,0))</x:f>
      </x:c>
      <x:c r="M76" s="50" t="str">
        <x:f>IF(A76="","",1-1/(1+L76))</x:f>
      </x:c>
      <x:c r="N76" s="73" t="str">
        <x:f>IF(A76="","",SUMIFS('Recipe Lines'!$N$5:$N$504,'Recipe Lines'!$A$5:$A$504,A76,'Recipe Lines'!$H$5:$H$504,"Yes"))</x:f>
      </x:c>
      <x:c r="O76" s="73" t="str">
        <x:f>IF(A76="","",SUMIFS('Recipe Lines'!$N$5:$N$504,'Recipe Lines'!$A$5:$A$504,A76,'Recipe Lines'!$H$5:$H$504,"No"))</x:f>
      </x:c>
      <x:c r="P76" s="73" t="str">
        <x:f>IF(A76="","",N76*(1-M76)+O76)</x:f>
      </x:c>
      <x:c r="Q76" s="46"/>
      <x:c r="R76" s="72"/>
      <x:c r="S76" s="73" t="str">
        <x:f>IF(A76="","",R76*0.1125*Q76)</x:f>
      </x:c>
      <x:c r="T76" s="72"/>
      <x:c r="U76" s="73" t="str">
        <x:f>IF(A76="","",IF(H76&gt;0,H76,IF(F76="Sell Order",SUMIFS('Market Data'!$E$5:$E$504,'Market Data'!$A$5:$A$504,E76,'Market Data'!$B$5:$B$504,B76,'Market Data'!$D$5:$D$504,G76),SUMIFS('Market Data'!$F$5:$F$504,'Market Data'!$A$5:$A$504,E76,'Market Data'!$B$5:$B$504,B76,'Market Data'!$D$5:$D$504,G76))))</x:f>
      </x:c>
      <x:c r="V76" s="73" t="str">
        <x:f>IF(A76="","",U76*D76)</x:f>
      </x:c>
      <x:c r="W76" s="73" t="str">
        <x:f>IF(A76="","",V76*(Settings!$B$19+IF(F76="Sell Order",Settings!$B$13,0)))</x:f>
      </x:c>
      <x:c r="X76" s="73" t="str">
        <x:f>IF(A76="","",V76-W76+T76)</x:f>
      </x:c>
      <x:c r="Y76" s="73" t="str">
        <x:f>IF(A76="","",X76-P76-S76)</x:f>
      </x:c>
      <x:c r="Z76" s="50" t="str">
        <x:f>IF(A76="","",IF(V76=0,0,Y76/V76))</x:f>
      </x:c>
      <x:c r="AA76" s="72"/>
      <x:c r="AB76" s="68"/>
      <x:c r="AC76" s="73" t="str">
        <x:f>IF(A76="","",IF(K76="Yes",AA76*POWER(0.5,AB76/10000),0))</x:f>
      </x:c>
      <x:c r="AD76" s="73" t="str">
        <x:f>IF(A76="","",IF(K76="Yes",N76*((1-1/(1+I76+J76+Settings!$B$11))-(1-1/(1+I76+J76))),0))</x:f>
      </x:c>
      <x:c r="AE76" s="73" t="str">
        <x:f>IF(A76="","",IF(AC76&gt;0,AD76/AC76,0))</x:f>
      </x:c>
      <x:c r="AF76" s="73" t="str">
        <x:f>IF(A76="","",IF(D76=0,0,MAX(0,(P76+S76-T76)/(D76*(1-(Settings!$B$19+IF(F76="Sell Order",Settings!$B$13,0)))))))</x:f>
      </x:c>
      <x:c r="AG76" s="50" t="str">
        <x:f>IF(A76="","",IF(P76+S76=0,0,Y76/(P76+S76)))</x:f>
      </x:c>
      <x:c r="AH76" s="48" t="str">
        <x:f>IF(A76="","",IF(Y76&gt;0,"PROFIT",IF(Y76&lt;0,"LOSS","BREAK-EVEN")))</x:f>
      </x:c>
    </x:row>
    <x:row r="77">
      <x:c r="A77" s="42"/>
      <x:c r="B77" s="42"/>
      <x:c r="C77" s="42"/>
      <x:c r="D77" s="42"/>
      <x:c r="E77" s="42"/>
      <x:c r="F77" s="42"/>
      <x:c r="G77" s="42"/>
      <x:c r="H77" s="72"/>
      <x:c r="I77" s="76"/>
      <x:c r="J77" s="76"/>
      <x:c r="K77" s="42"/>
      <x:c r="L77" s="50" t="str">
        <x:f>IF(A77="","",I77+J77+IF(K77="Yes",Settings!$B$11,0))</x:f>
      </x:c>
      <x:c r="M77" s="50" t="str">
        <x:f>IF(A77="","",1-1/(1+L77))</x:f>
      </x:c>
      <x:c r="N77" s="73" t="str">
        <x:f>IF(A77="","",SUMIFS('Recipe Lines'!$N$5:$N$504,'Recipe Lines'!$A$5:$A$504,A77,'Recipe Lines'!$H$5:$H$504,"Yes"))</x:f>
      </x:c>
      <x:c r="O77" s="73" t="str">
        <x:f>IF(A77="","",SUMIFS('Recipe Lines'!$N$5:$N$504,'Recipe Lines'!$A$5:$A$504,A77,'Recipe Lines'!$H$5:$H$504,"No"))</x:f>
      </x:c>
      <x:c r="P77" s="73" t="str">
        <x:f>IF(A77="","",N77*(1-M77)+O77)</x:f>
      </x:c>
      <x:c r="Q77" s="46"/>
      <x:c r="R77" s="72"/>
      <x:c r="S77" s="73" t="str">
        <x:f>IF(A77="","",R77*0.1125*Q77)</x:f>
      </x:c>
      <x:c r="T77" s="72"/>
      <x:c r="U77" s="73" t="str">
        <x:f>IF(A77="","",IF(H77&gt;0,H77,IF(F77="Sell Order",SUMIFS('Market Data'!$E$5:$E$504,'Market Data'!$A$5:$A$504,E77,'Market Data'!$B$5:$B$504,B77,'Market Data'!$D$5:$D$504,G77),SUMIFS('Market Data'!$F$5:$F$504,'Market Data'!$A$5:$A$504,E77,'Market Data'!$B$5:$B$504,B77,'Market Data'!$D$5:$D$504,G77))))</x:f>
      </x:c>
      <x:c r="V77" s="73" t="str">
        <x:f>IF(A77="","",U77*D77)</x:f>
      </x:c>
      <x:c r="W77" s="73" t="str">
        <x:f>IF(A77="","",V77*(Settings!$B$19+IF(F77="Sell Order",Settings!$B$13,0)))</x:f>
      </x:c>
      <x:c r="X77" s="73" t="str">
        <x:f>IF(A77="","",V77-W77+T77)</x:f>
      </x:c>
      <x:c r="Y77" s="73" t="str">
        <x:f>IF(A77="","",X77-P77-S77)</x:f>
      </x:c>
      <x:c r="Z77" s="50" t="str">
        <x:f>IF(A77="","",IF(V77=0,0,Y77/V77))</x:f>
      </x:c>
      <x:c r="AA77" s="72"/>
      <x:c r="AB77" s="68"/>
      <x:c r="AC77" s="73" t="str">
        <x:f>IF(A77="","",IF(K77="Yes",AA77*POWER(0.5,AB77/10000),0))</x:f>
      </x:c>
      <x:c r="AD77" s="73" t="str">
        <x:f>IF(A77="","",IF(K77="Yes",N77*((1-1/(1+I77+J77+Settings!$B$11))-(1-1/(1+I77+J77))),0))</x:f>
      </x:c>
      <x:c r="AE77" s="73" t="str">
        <x:f>IF(A77="","",IF(AC77&gt;0,AD77/AC77,0))</x:f>
      </x:c>
      <x:c r="AF77" s="73" t="str">
        <x:f>IF(A77="","",IF(D77=0,0,MAX(0,(P77+S77-T77)/(D77*(1-(Settings!$B$19+IF(F77="Sell Order",Settings!$B$13,0)))))))</x:f>
      </x:c>
      <x:c r="AG77" s="50" t="str">
        <x:f>IF(A77="","",IF(P77+S77=0,0,Y77/(P77+S77)))</x:f>
      </x:c>
      <x:c r="AH77" s="48" t="str">
        <x:f>IF(A77="","",IF(Y77&gt;0,"PROFIT",IF(Y77&lt;0,"LOSS","BREAK-EVEN")))</x:f>
      </x:c>
    </x:row>
    <x:row r="78">
      <x:c r="A78" s="42"/>
      <x:c r="B78" s="42"/>
      <x:c r="C78" s="42"/>
      <x:c r="D78" s="42"/>
      <x:c r="E78" s="42"/>
      <x:c r="F78" s="42"/>
      <x:c r="G78" s="42"/>
      <x:c r="H78" s="72"/>
      <x:c r="I78" s="76"/>
      <x:c r="J78" s="76"/>
      <x:c r="K78" s="42"/>
      <x:c r="L78" s="50" t="str">
        <x:f>IF(A78="","",I78+J78+IF(K78="Yes",Settings!$B$11,0))</x:f>
      </x:c>
      <x:c r="M78" s="50" t="str">
        <x:f>IF(A78="","",1-1/(1+L78))</x:f>
      </x:c>
      <x:c r="N78" s="73" t="str">
        <x:f>IF(A78="","",SUMIFS('Recipe Lines'!$N$5:$N$504,'Recipe Lines'!$A$5:$A$504,A78,'Recipe Lines'!$H$5:$H$504,"Yes"))</x:f>
      </x:c>
      <x:c r="O78" s="73" t="str">
        <x:f>IF(A78="","",SUMIFS('Recipe Lines'!$N$5:$N$504,'Recipe Lines'!$A$5:$A$504,A78,'Recipe Lines'!$H$5:$H$504,"No"))</x:f>
      </x:c>
      <x:c r="P78" s="73" t="str">
        <x:f>IF(A78="","",N78*(1-M78)+O78)</x:f>
      </x:c>
      <x:c r="Q78" s="46"/>
      <x:c r="R78" s="72"/>
      <x:c r="S78" s="73" t="str">
        <x:f>IF(A78="","",R78*0.1125*Q78)</x:f>
      </x:c>
      <x:c r="T78" s="72"/>
      <x:c r="U78" s="73" t="str">
        <x:f>IF(A78="","",IF(H78&gt;0,H78,IF(F78="Sell Order",SUMIFS('Market Data'!$E$5:$E$504,'Market Data'!$A$5:$A$504,E78,'Market Data'!$B$5:$B$504,B78,'Market Data'!$D$5:$D$504,G78),SUMIFS('Market Data'!$F$5:$F$504,'Market Data'!$A$5:$A$504,E78,'Market Data'!$B$5:$B$504,B78,'Market Data'!$D$5:$D$504,G78))))</x:f>
      </x:c>
      <x:c r="V78" s="73" t="str">
        <x:f>IF(A78="","",U78*D78)</x:f>
      </x:c>
      <x:c r="W78" s="73" t="str">
        <x:f>IF(A78="","",V78*(Settings!$B$19+IF(F78="Sell Order",Settings!$B$13,0)))</x:f>
      </x:c>
      <x:c r="X78" s="73" t="str">
        <x:f>IF(A78="","",V78-W78+T78)</x:f>
      </x:c>
      <x:c r="Y78" s="73" t="str">
        <x:f>IF(A78="","",X78-P78-S78)</x:f>
      </x:c>
      <x:c r="Z78" s="50" t="str">
        <x:f>IF(A78="","",IF(V78=0,0,Y78/V78))</x:f>
      </x:c>
      <x:c r="AA78" s="72"/>
      <x:c r="AB78" s="68"/>
      <x:c r="AC78" s="73" t="str">
        <x:f>IF(A78="","",IF(K78="Yes",AA78*POWER(0.5,AB78/10000),0))</x:f>
      </x:c>
      <x:c r="AD78" s="73" t="str">
        <x:f>IF(A78="","",IF(K78="Yes",N78*((1-1/(1+I78+J78+Settings!$B$11))-(1-1/(1+I78+J78))),0))</x:f>
      </x:c>
      <x:c r="AE78" s="73" t="str">
        <x:f>IF(A78="","",IF(AC78&gt;0,AD78/AC78,0))</x:f>
      </x:c>
      <x:c r="AF78" s="73" t="str">
        <x:f>IF(A78="","",IF(D78=0,0,MAX(0,(P78+S78-T78)/(D78*(1-(Settings!$B$19+IF(F78="Sell Order",Settings!$B$13,0)))))))</x:f>
      </x:c>
      <x:c r="AG78" s="50" t="str">
        <x:f>IF(A78="","",IF(P78+S78=0,0,Y78/(P78+S78)))</x:f>
      </x:c>
      <x:c r="AH78" s="48" t="str">
        <x:f>IF(A78="","",IF(Y78&gt;0,"PROFIT",IF(Y78&lt;0,"LOSS","BREAK-EVEN")))</x:f>
      </x:c>
    </x:row>
    <x:row r="79">
      <x:c r="A79" s="42"/>
      <x:c r="B79" s="42"/>
      <x:c r="C79" s="42"/>
      <x:c r="D79" s="42"/>
      <x:c r="E79" s="42"/>
      <x:c r="F79" s="42"/>
      <x:c r="G79" s="42"/>
      <x:c r="H79" s="72"/>
      <x:c r="I79" s="76"/>
      <x:c r="J79" s="76"/>
      <x:c r="K79" s="42"/>
      <x:c r="L79" s="50" t="str">
        <x:f>IF(A79="","",I79+J79+IF(K79="Yes",Settings!$B$11,0))</x:f>
      </x:c>
      <x:c r="M79" s="50" t="str">
        <x:f>IF(A79="","",1-1/(1+L79))</x:f>
      </x:c>
      <x:c r="N79" s="73" t="str">
        <x:f>IF(A79="","",SUMIFS('Recipe Lines'!$N$5:$N$504,'Recipe Lines'!$A$5:$A$504,A79,'Recipe Lines'!$H$5:$H$504,"Yes"))</x:f>
      </x:c>
      <x:c r="O79" s="73" t="str">
        <x:f>IF(A79="","",SUMIFS('Recipe Lines'!$N$5:$N$504,'Recipe Lines'!$A$5:$A$504,A79,'Recipe Lines'!$H$5:$H$504,"No"))</x:f>
      </x:c>
      <x:c r="P79" s="73" t="str">
        <x:f>IF(A79="","",N79*(1-M79)+O79)</x:f>
      </x:c>
      <x:c r="Q79" s="46"/>
      <x:c r="R79" s="72"/>
      <x:c r="S79" s="73" t="str">
        <x:f>IF(A79="","",R79*0.1125*Q79)</x:f>
      </x:c>
      <x:c r="T79" s="72"/>
      <x:c r="U79" s="73" t="str">
        <x:f>IF(A79="","",IF(H79&gt;0,H79,IF(F79="Sell Order",SUMIFS('Market Data'!$E$5:$E$504,'Market Data'!$A$5:$A$504,E79,'Market Data'!$B$5:$B$504,B79,'Market Data'!$D$5:$D$504,G79),SUMIFS('Market Data'!$F$5:$F$504,'Market Data'!$A$5:$A$504,E79,'Market Data'!$B$5:$B$504,B79,'Market Data'!$D$5:$D$504,G79))))</x:f>
      </x:c>
      <x:c r="V79" s="73" t="str">
        <x:f>IF(A79="","",U79*D79)</x:f>
      </x:c>
      <x:c r="W79" s="73" t="str">
        <x:f>IF(A79="","",V79*(Settings!$B$19+IF(F79="Sell Order",Settings!$B$13,0)))</x:f>
      </x:c>
      <x:c r="X79" s="73" t="str">
        <x:f>IF(A79="","",V79-W79+T79)</x:f>
      </x:c>
      <x:c r="Y79" s="73" t="str">
        <x:f>IF(A79="","",X79-P79-S79)</x:f>
      </x:c>
      <x:c r="Z79" s="50" t="str">
        <x:f>IF(A79="","",IF(V79=0,0,Y79/V79))</x:f>
      </x:c>
      <x:c r="AA79" s="72"/>
      <x:c r="AB79" s="68"/>
      <x:c r="AC79" s="73" t="str">
        <x:f>IF(A79="","",IF(K79="Yes",AA79*POWER(0.5,AB79/10000),0))</x:f>
      </x:c>
      <x:c r="AD79" s="73" t="str">
        <x:f>IF(A79="","",IF(K79="Yes",N79*((1-1/(1+I79+J79+Settings!$B$11))-(1-1/(1+I79+J79))),0))</x:f>
      </x:c>
      <x:c r="AE79" s="73" t="str">
        <x:f>IF(A79="","",IF(AC79&gt;0,AD79/AC79,0))</x:f>
      </x:c>
      <x:c r="AF79" s="73" t="str">
        <x:f>IF(A79="","",IF(D79=0,0,MAX(0,(P79+S79-T79)/(D79*(1-(Settings!$B$19+IF(F79="Sell Order",Settings!$B$13,0)))))))</x:f>
      </x:c>
      <x:c r="AG79" s="50" t="str">
        <x:f>IF(A79="","",IF(P79+S79=0,0,Y79/(P79+S79)))</x:f>
      </x:c>
      <x:c r="AH79" s="48" t="str">
        <x:f>IF(A79="","",IF(Y79&gt;0,"PROFIT",IF(Y79&lt;0,"LOSS","BREAK-EVEN")))</x:f>
      </x:c>
    </x:row>
    <x:row r="80">
      <x:c r="A80" s="42"/>
      <x:c r="B80" s="42"/>
      <x:c r="C80" s="42"/>
      <x:c r="D80" s="42"/>
      <x:c r="E80" s="42"/>
      <x:c r="F80" s="42"/>
      <x:c r="G80" s="42"/>
      <x:c r="H80" s="72"/>
      <x:c r="I80" s="76"/>
      <x:c r="J80" s="76"/>
      <x:c r="K80" s="42"/>
      <x:c r="L80" s="50" t="str">
        <x:f>IF(A80="","",I80+J80+IF(K80="Yes",Settings!$B$11,0))</x:f>
      </x:c>
      <x:c r="M80" s="50" t="str">
        <x:f>IF(A80="","",1-1/(1+L80))</x:f>
      </x:c>
      <x:c r="N80" s="73" t="str">
        <x:f>IF(A80="","",SUMIFS('Recipe Lines'!$N$5:$N$504,'Recipe Lines'!$A$5:$A$504,A80,'Recipe Lines'!$H$5:$H$504,"Yes"))</x:f>
      </x:c>
      <x:c r="O80" s="73" t="str">
        <x:f>IF(A80="","",SUMIFS('Recipe Lines'!$N$5:$N$504,'Recipe Lines'!$A$5:$A$504,A80,'Recipe Lines'!$H$5:$H$504,"No"))</x:f>
      </x:c>
      <x:c r="P80" s="73" t="str">
        <x:f>IF(A80="","",N80*(1-M80)+O80)</x:f>
      </x:c>
      <x:c r="Q80" s="46"/>
      <x:c r="R80" s="72"/>
      <x:c r="S80" s="73" t="str">
        <x:f>IF(A80="","",R80*0.1125*Q80)</x:f>
      </x:c>
      <x:c r="T80" s="72"/>
      <x:c r="U80" s="73" t="str">
        <x:f>IF(A80="","",IF(H80&gt;0,H80,IF(F80="Sell Order",SUMIFS('Market Data'!$E$5:$E$504,'Market Data'!$A$5:$A$504,E80,'Market Data'!$B$5:$B$504,B80,'Market Data'!$D$5:$D$504,G80),SUMIFS('Market Data'!$F$5:$F$504,'Market Data'!$A$5:$A$504,E80,'Market Data'!$B$5:$B$504,B80,'Market Data'!$D$5:$D$504,G80))))</x:f>
      </x:c>
      <x:c r="V80" s="73" t="str">
        <x:f>IF(A80="","",U80*D80)</x:f>
      </x:c>
      <x:c r="W80" s="73" t="str">
        <x:f>IF(A80="","",V80*(Settings!$B$19+IF(F80="Sell Order",Settings!$B$13,0)))</x:f>
      </x:c>
      <x:c r="X80" s="73" t="str">
        <x:f>IF(A80="","",V80-W80+T80)</x:f>
      </x:c>
      <x:c r="Y80" s="73" t="str">
        <x:f>IF(A80="","",X80-P80-S80)</x:f>
      </x:c>
      <x:c r="Z80" s="50" t="str">
        <x:f>IF(A80="","",IF(V80=0,0,Y80/V80))</x:f>
      </x:c>
      <x:c r="AA80" s="72"/>
      <x:c r="AB80" s="68"/>
      <x:c r="AC80" s="73" t="str">
        <x:f>IF(A80="","",IF(K80="Yes",AA80*POWER(0.5,AB80/10000),0))</x:f>
      </x:c>
      <x:c r="AD80" s="73" t="str">
        <x:f>IF(A80="","",IF(K80="Yes",N80*((1-1/(1+I80+J80+Settings!$B$11))-(1-1/(1+I80+J80))),0))</x:f>
      </x:c>
      <x:c r="AE80" s="73" t="str">
        <x:f>IF(A80="","",IF(AC80&gt;0,AD80/AC80,0))</x:f>
      </x:c>
      <x:c r="AF80" s="73" t="str">
        <x:f>IF(A80="","",IF(D80=0,0,MAX(0,(P80+S80-T80)/(D80*(1-(Settings!$B$19+IF(F80="Sell Order",Settings!$B$13,0)))))))</x:f>
      </x:c>
      <x:c r="AG80" s="50" t="str">
        <x:f>IF(A80="","",IF(P80+S80=0,0,Y80/(P80+S80)))</x:f>
      </x:c>
      <x:c r="AH80" s="48" t="str">
        <x:f>IF(A80="","",IF(Y80&gt;0,"PROFIT",IF(Y80&lt;0,"LOSS","BREAK-EVEN")))</x:f>
      </x:c>
    </x:row>
    <x:row r="81">
      <x:c r="A81" s="42"/>
      <x:c r="B81" s="42"/>
      <x:c r="C81" s="42"/>
      <x:c r="D81" s="42"/>
      <x:c r="E81" s="42"/>
      <x:c r="F81" s="42"/>
      <x:c r="G81" s="42"/>
      <x:c r="H81" s="72"/>
      <x:c r="I81" s="76"/>
      <x:c r="J81" s="76"/>
      <x:c r="K81" s="42"/>
      <x:c r="L81" s="50" t="str">
        <x:f>IF(A81="","",I81+J81+IF(K81="Yes",Settings!$B$11,0))</x:f>
      </x:c>
      <x:c r="M81" s="50" t="str">
        <x:f>IF(A81="","",1-1/(1+L81))</x:f>
      </x:c>
      <x:c r="N81" s="73" t="str">
        <x:f>IF(A81="","",SUMIFS('Recipe Lines'!$N$5:$N$504,'Recipe Lines'!$A$5:$A$504,A81,'Recipe Lines'!$H$5:$H$504,"Yes"))</x:f>
      </x:c>
      <x:c r="O81" s="73" t="str">
        <x:f>IF(A81="","",SUMIFS('Recipe Lines'!$N$5:$N$504,'Recipe Lines'!$A$5:$A$504,A81,'Recipe Lines'!$H$5:$H$504,"No"))</x:f>
      </x:c>
      <x:c r="P81" s="73" t="str">
        <x:f>IF(A81="","",N81*(1-M81)+O81)</x:f>
      </x:c>
      <x:c r="Q81" s="46"/>
      <x:c r="R81" s="72"/>
      <x:c r="S81" s="73" t="str">
        <x:f>IF(A81="","",R81*0.1125*Q81)</x:f>
      </x:c>
      <x:c r="T81" s="72"/>
      <x:c r="U81" s="73" t="str">
        <x:f>IF(A81="","",IF(H81&gt;0,H81,IF(F81="Sell Order",SUMIFS('Market Data'!$E$5:$E$504,'Market Data'!$A$5:$A$504,E81,'Market Data'!$B$5:$B$504,B81,'Market Data'!$D$5:$D$504,G81),SUMIFS('Market Data'!$F$5:$F$504,'Market Data'!$A$5:$A$504,E81,'Market Data'!$B$5:$B$504,B81,'Market Data'!$D$5:$D$504,G81))))</x:f>
      </x:c>
      <x:c r="V81" s="73" t="str">
        <x:f>IF(A81="","",U81*D81)</x:f>
      </x:c>
      <x:c r="W81" s="73" t="str">
        <x:f>IF(A81="","",V81*(Settings!$B$19+IF(F81="Sell Order",Settings!$B$13,0)))</x:f>
      </x:c>
      <x:c r="X81" s="73" t="str">
        <x:f>IF(A81="","",V81-W81+T81)</x:f>
      </x:c>
      <x:c r="Y81" s="73" t="str">
        <x:f>IF(A81="","",X81-P81-S81)</x:f>
      </x:c>
      <x:c r="Z81" s="50" t="str">
        <x:f>IF(A81="","",IF(V81=0,0,Y81/V81))</x:f>
      </x:c>
      <x:c r="AA81" s="72"/>
      <x:c r="AB81" s="68"/>
      <x:c r="AC81" s="73" t="str">
        <x:f>IF(A81="","",IF(K81="Yes",AA81*POWER(0.5,AB81/10000),0))</x:f>
      </x:c>
      <x:c r="AD81" s="73" t="str">
        <x:f>IF(A81="","",IF(K81="Yes",N81*((1-1/(1+I81+J81+Settings!$B$11))-(1-1/(1+I81+J81))),0))</x:f>
      </x:c>
      <x:c r="AE81" s="73" t="str">
        <x:f>IF(A81="","",IF(AC81&gt;0,AD81/AC81,0))</x:f>
      </x:c>
      <x:c r="AF81" s="73" t="str">
        <x:f>IF(A81="","",IF(D81=0,0,MAX(0,(P81+S81-T81)/(D81*(1-(Settings!$B$19+IF(F81="Sell Order",Settings!$B$13,0)))))))</x:f>
      </x:c>
      <x:c r="AG81" s="50" t="str">
        <x:f>IF(A81="","",IF(P81+S81=0,0,Y81/(P81+S81)))</x:f>
      </x:c>
      <x:c r="AH81" s="48" t="str">
        <x:f>IF(A81="","",IF(Y81&gt;0,"PROFIT",IF(Y81&lt;0,"LOSS","BREAK-EVEN")))</x:f>
      </x:c>
    </x:row>
    <x:row r="82">
      <x:c r="A82" s="42"/>
      <x:c r="B82" s="42"/>
      <x:c r="C82" s="42"/>
      <x:c r="D82" s="42"/>
      <x:c r="E82" s="42"/>
      <x:c r="F82" s="42"/>
      <x:c r="G82" s="42"/>
      <x:c r="H82" s="72"/>
      <x:c r="I82" s="76"/>
      <x:c r="J82" s="76"/>
      <x:c r="K82" s="42"/>
      <x:c r="L82" s="50" t="str">
        <x:f>IF(A82="","",I82+J82+IF(K82="Yes",Settings!$B$11,0))</x:f>
      </x:c>
      <x:c r="M82" s="50" t="str">
        <x:f>IF(A82="","",1-1/(1+L82))</x:f>
      </x:c>
      <x:c r="N82" s="73" t="str">
        <x:f>IF(A82="","",SUMIFS('Recipe Lines'!$N$5:$N$504,'Recipe Lines'!$A$5:$A$504,A82,'Recipe Lines'!$H$5:$H$504,"Yes"))</x:f>
      </x:c>
      <x:c r="O82" s="73" t="str">
        <x:f>IF(A82="","",SUMIFS('Recipe Lines'!$N$5:$N$504,'Recipe Lines'!$A$5:$A$504,A82,'Recipe Lines'!$H$5:$H$504,"No"))</x:f>
      </x:c>
      <x:c r="P82" s="73" t="str">
        <x:f>IF(A82="","",N82*(1-M82)+O82)</x:f>
      </x:c>
      <x:c r="Q82" s="46"/>
      <x:c r="R82" s="72"/>
      <x:c r="S82" s="73" t="str">
        <x:f>IF(A82="","",R82*0.1125*Q82)</x:f>
      </x:c>
      <x:c r="T82" s="72"/>
      <x:c r="U82" s="73" t="str">
        <x:f>IF(A82="","",IF(H82&gt;0,H82,IF(F82="Sell Order",SUMIFS('Market Data'!$E$5:$E$504,'Market Data'!$A$5:$A$504,E82,'Market Data'!$B$5:$B$504,B82,'Market Data'!$D$5:$D$504,G82),SUMIFS('Market Data'!$F$5:$F$504,'Market Data'!$A$5:$A$504,E82,'Market Data'!$B$5:$B$504,B82,'Market Data'!$D$5:$D$504,G82))))</x:f>
      </x:c>
      <x:c r="V82" s="73" t="str">
        <x:f>IF(A82="","",U82*D82)</x:f>
      </x:c>
      <x:c r="W82" s="73" t="str">
        <x:f>IF(A82="","",V82*(Settings!$B$19+IF(F82="Sell Order",Settings!$B$13,0)))</x:f>
      </x:c>
      <x:c r="X82" s="73" t="str">
        <x:f>IF(A82="","",V82-W82+T82)</x:f>
      </x:c>
      <x:c r="Y82" s="73" t="str">
        <x:f>IF(A82="","",X82-P82-S82)</x:f>
      </x:c>
      <x:c r="Z82" s="50" t="str">
        <x:f>IF(A82="","",IF(V82=0,0,Y82/V82))</x:f>
      </x:c>
      <x:c r="AA82" s="72"/>
      <x:c r="AB82" s="68"/>
      <x:c r="AC82" s="73" t="str">
        <x:f>IF(A82="","",IF(K82="Yes",AA82*POWER(0.5,AB82/10000),0))</x:f>
      </x:c>
      <x:c r="AD82" s="73" t="str">
        <x:f>IF(A82="","",IF(K82="Yes",N82*((1-1/(1+I82+J82+Settings!$B$11))-(1-1/(1+I82+J82))),0))</x:f>
      </x:c>
      <x:c r="AE82" s="73" t="str">
        <x:f>IF(A82="","",IF(AC82&gt;0,AD82/AC82,0))</x:f>
      </x:c>
      <x:c r="AF82" s="73" t="str">
        <x:f>IF(A82="","",IF(D82=0,0,MAX(0,(P82+S82-T82)/(D82*(1-(Settings!$B$19+IF(F82="Sell Order",Settings!$B$13,0)))))))</x:f>
      </x:c>
      <x:c r="AG82" s="50" t="str">
        <x:f>IF(A82="","",IF(P82+S82=0,0,Y82/(P82+S82)))</x:f>
      </x:c>
      <x:c r="AH82" s="48" t="str">
        <x:f>IF(A82="","",IF(Y82&gt;0,"PROFIT",IF(Y82&lt;0,"LOSS","BREAK-EVEN")))</x:f>
      </x:c>
    </x:row>
    <x:row r="83">
      <x:c r="A83" s="42"/>
      <x:c r="B83" s="42"/>
      <x:c r="C83" s="42"/>
      <x:c r="D83" s="42"/>
      <x:c r="E83" s="42"/>
      <x:c r="F83" s="42"/>
      <x:c r="G83" s="42"/>
      <x:c r="H83" s="72"/>
      <x:c r="I83" s="76"/>
      <x:c r="J83" s="76"/>
      <x:c r="K83" s="42"/>
      <x:c r="L83" s="50" t="str">
        <x:f>IF(A83="","",I83+J83+IF(K83="Yes",Settings!$B$11,0))</x:f>
      </x:c>
      <x:c r="M83" s="50" t="str">
        <x:f>IF(A83="","",1-1/(1+L83))</x:f>
      </x:c>
      <x:c r="N83" s="73" t="str">
        <x:f>IF(A83="","",SUMIFS('Recipe Lines'!$N$5:$N$504,'Recipe Lines'!$A$5:$A$504,A83,'Recipe Lines'!$H$5:$H$504,"Yes"))</x:f>
      </x:c>
      <x:c r="O83" s="73" t="str">
        <x:f>IF(A83="","",SUMIFS('Recipe Lines'!$N$5:$N$504,'Recipe Lines'!$A$5:$A$504,A83,'Recipe Lines'!$H$5:$H$504,"No"))</x:f>
      </x:c>
      <x:c r="P83" s="73" t="str">
        <x:f>IF(A83="","",N83*(1-M83)+O83)</x:f>
      </x:c>
      <x:c r="Q83" s="46"/>
      <x:c r="R83" s="72"/>
      <x:c r="S83" s="73" t="str">
        <x:f>IF(A83="","",R83*0.1125*Q83)</x:f>
      </x:c>
      <x:c r="T83" s="72"/>
      <x:c r="U83" s="73" t="str">
        <x:f>IF(A83="","",IF(H83&gt;0,H83,IF(F83="Sell Order",SUMIFS('Market Data'!$E$5:$E$504,'Market Data'!$A$5:$A$504,E83,'Market Data'!$B$5:$B$504,B83,'Market Data'!$D$5:$D$504,G83),SUMIFS('Market Data'!$F$5:$F$504,'Market Data'!$A$5:$A$504,E83,'Market Data'!$B$5:$B$504,B83,'Market Data'!$D$5:$D$504,G83))))</x:f>
      </x:c>
      <x:c r="V83" s="73" t="str">
        <x:f>IF(A83="","",U83*D83)</x:f>
      </x:c>
      <x:c r="W83" s="73" t="str">
        <x:f>IF(A83="","",V83*(Settings!$B$19+IF(F83="Sell Order",Settings!$B$13,0)))</x:f>
      </x:c>
      <x:c r="X83" s="73" t="str">
        <x:f>IF(A83="","",V83-W83+T83)</x:f>
      </x:c>
      <x:c r="Y83" s="73" t="str">
        <x:f>IF(A83="","",X83-P83-S83)</x:f>
      </x:c>
      <x:c r="Z83" s="50" t="str">
        <x:f>IF(A83="","",IF(V83=0,0,Y83/V83))</x:f>
      </x:c>
      <x:c r="AA83" s="72"/>
      <x:c r="AB83" s="68"/>
      <x:c r="AC83" s="73" t="str">
        <x:f>IF(A83="","",IF(K83="Yes",AA83*POWER(0.5,AB83/10000),0))</x:f>
      </x:c>
      <x:c r="AD83" s="73" t="str">
        <x:f>IF(A83="","",IF(K83="Yes",N83*((1-1/(1+I83+J83+Settings!$B$11))-(1-1/(1+I83+J83))),0))</x:f>
      </x:c>
      <x:c r="AE83" s="73" t="str">
        <x:f>IF(A83="","",IF(AC83&gt;0,AD83/AC83,0))</x:f>
      </x:c>
      <x:c r="AF83" s="73" t="str">
        <x:f>IF(A83="","",IF(D83=0,0,MAX(0,(P83+S83-T83)/(D83*(1-(Settings!$B$19+IF(F83="Sell Order",Settings!$B$13,0)))))))</x:f>
      </x:c>
      <x:c r="AG83" s="50" t="str">
        <x:f>IF(A83="","",IF(P83+S83=0,0,Y83/(P83+S83)))</x:f>
      </x:c>
      <x:c r="AH83" s="48" t="str">
        <x:f>IF(A83="","",IF(Y83&gt;0,"PROFIT",IF(Y83&lt;0,"LOSS","BREAK-EVEN")))</x:f>
      </x:c>
    </x:row>
    <x:row r="84">
      <x:c r="A84" s="42"/>
      <x:c r="B84" s="42"/>
      <x:c r="C84" s="42"/>
      <x:c r="D84" s="42"/>
      <x:c r="E84" s="42"/>
      <x:c r="F84" s="42"/>
      <x:c r="G84" s="42"/>
      <x:c r="H84" s="72"/>
      <x:c r="I84" s="76"/>
      <x:c r="J84" s="76"/>
      <x:c r="K84" s="42"/>
      <x:c r="L84" s="50" t="str">
        <x:f>IF(A84="","",I84+J84+IF(K84="Yes",Settings!$B$11,0))</x:f>
      </x:c>
      <x:c r="M84" s="50" t="str">
        <x:f>IF(A84="","",1-1/(1+L84))</x:f>
      </x:c>
      <x:c r="N84" s="73" t="str">
        <x:f>IF(A84="","",SUMIFS('Recipe Lines'!$N$5:$N$504,'Recipe Lines'!$A$5:$A$504,A84,'Recipe Lines'!$H$5:$H$504,"Yes"))</x:f>
      </x:c>
      <x:c r="O84" s="73" t="str">
        <x:f>IF(A84="","",SUMIFS('Recipe Lines'!$N$5:$N$504,'Recipe Lines'!$A$5:$A$504,A84,'Recipe Lines'!$H$5:$H$504,"No"))</x:f>
      </x:c>
      <x:c r="P84" s="73" t="str">
        <x:f>IF(A84="","",N84*(1-M84)+O84)</x:f>
      </x:c>
      <x:c r="Q84" s="46"/>
      <x:c r="R84" s="72"/>
      <x:c r="S84" s="73" t="str">
        <x:f>IF(A84="","",R84*0.1125*Q84)</x:f>
      </x:c>
      <x:c r="T84" s="72"/>
      <x:c r="U84" s="73" t="str">
        <x:f>IF(A84="","",IF(H84&gt;0,H84,IF(F84="Sell Order",SUMIFS('Market Data'!$E$5:$E$504,'Market Data'!$A$5:$A$504,E84,'Market Data'!$B$5:$B$504,B84,'Market Data'!$D$5:$D$504,G84),SUMIFS('Market Data'!$F$5:$F$504,'Market Data'!$A$5:$A$504,E84,'Market Data'!$B$5:$B$504,B84,'Market Data'!$D$5:$D$504,G84))))</x:f>
      </x:c>
      <x:c r="V84" s="73" t="str">
        <x:f>IF(A84="","",U84*D84)</x:f>
      </x:c>
      <x:c r="W84" s="73" t="str">
        <x:f>IF(A84="","",V84*(Settings!$B$19+IF(F84="Sell Order",Settings!$B$13,0)))</x:f>
      </x:c>
      <x:c r="X84" s="73" t="str">
        <x:f>IF(A84="","",V84-W84+T84)</x:f>
      </x:c>
      <x:c r="Y84" s="73" t="str">
        <x:f>IF(A84="","",X84-P84-S84)</x:f>
      </x:c>
      <x:c r="Z84" s="50" t="str">
        <x:f>IF(A84="","",IF(V84=0,0,Y84/V84))</x:f>
      </x:c>
      <x:c r="AA84" s="72"/>
      <x:c r="AB84" s="68"/>
      <x:c r="AC84" s="73" t="str">
        <x:f>IF(A84="","",IF(K84="Yes",AA84*POWER(0.5,AB84/10000),0))</x:f>
      </x:c>
      <x:c r="AD84" s="73" t="str">
        <x:f>IF(A84="","",IF(K84="Yes",N84*((1-1/(1+I84+J84+Settings!$B$11))-(1-1/(1+I84+J84))),0))</x:f>
      </x:c>
      <x:c r="AE84" s="73" t="str">
        <x:f>IF(A84="","",IF(AC84&gt;0,AD84/AC84,0))</x:f>
      </x:c>
      <x:c r="AF84" s="73" t="str">
        <x:f>IF(A84="","",IF(D84=0,0,MAX(0,(P84+S84-T84)/(D84*(1-(Settings!$B$19+IF(F84="Sell Order",Settings!$B$13,0)))))))</x:f>
      </x:c>
      <x:c r="AG84" s="50" t="str">
        <x:f>IF(A84="","",IF(P84+S84=0,0,Y84/(P84+S84)))</x:f>
      </x:c>
      <x:c r="AH84" s="48" t="str">
        <x:f>IF(A84="","",IF(Y84&gt;0,"PROFIT",IF(Y84&lt;0,"LOSS","BREAK-EVEN")))</x:f>
      </x:c>
    </x:row>
    <x:row r="85">
      <x:c r="A85" s="42"/>
      <x:c r="B85" s="42"/>
      <x:c r="C85" s="42"/>
      <x:c r="D85" s="42"/>
      <x:c r="E85" s="42"/>
      <x:c r="F85" s="42"/>
      <x:c r="G85" s="42"/>
      <x:c r="H85" s="72"/>
      <x:c r="I85" s="76"/>
      <x:c r="J85" s="76"/>
      <x:c r="K85" s="42"/>
      <x:c r="L85" s="50" t="str">
        <x:f>IF(A85="","",I85+J85+IF(K85="Yes",Settings!$B$11,0))</x:f>
      </x:c>
      <x:c r="M85" s="50" t="str">
        <x:f>IF(A85="","",1-1/(1+L85))</x:f>
      </x:c>
      <x:c r="N85" s="73" t="str">
        <x:f>IF(A85="","",SUMIFS('Recipe Lines'!$N$5:$N$504,'Recipe Lines'!$A$5:$A$504,A85,'Recipe Lines'!$H$5:$H$504,"Yes"))</x:f>
      </x:c>
      <x:c r="O85" s="73" t="str">
        <x:f>IF(A85="","",SUMIFS('Recipe Lines'!$N$5:$N$504,'Recipe Lines'!$A$5:$A$504,A85,'Recipe Lines'!$H$5:$H$504,"No"))</x:f>
      </x:c>
      <x:c r="P85" s="73" t="str">
        <x:f>IF(A85="","",N85*(1-M85)+O85)</x:f>
      </x:c>
      <x:c r="Q85" s="46"/>
      <x:c r="R85" s="72"/>
      <x:c r="S85" s="73" t="str">
        <x:f>IF(A85="","",R85*0.1125*Q85)</x:f>
      </x:c>
      <x:c r="T85" s="72"/>
      <x:c r="U85" s="73" t="str">
        <x:f>IF(A85="","",IF(H85&gt;0,H85,IF(F85="Sell Order",SUMIFS('Market Data'!$E$5:$E$504,'Market Data'!$A$5:$A$504,E85,'Market Data'!$B$5:$B$504,B85,'Market Data'!$D$5:$D$504,G85),SUMIFS('Market Data'!$F$5:$F$504,'Market Data'!$A$5:$A$504,E85,'Market Data'!$B$5:$B$504,B85,'Market Data'!$D$5:$D$504,G85))))</x:f>
      </x:c>
      <x:c r="V85" s="73" t="str">
        <x:f>IF(A85="","",U85*D85)</x:f>
      </x:c>
      <x:c r="W85" s="73" t="str">
        <x:f>IF(A85="","",V85*(Settings!$B$19+IF(F85="Sell Order",Settings!$B$13,0)))</x:f>
      </x:c>
      <x:c r="X85" s="73" t="str">
        <x:f>IF(A85="","",V85-W85+T85)</x:f>
      </x:c>
      <x:c r="Y85" s="73" t="str">
        <x:f>IF(A85="","",X85-P85-S85)</x:f>
      </x:c>
      <x:c r="Z85" s="50" t="str">
        <x:f>IF(A85="","",IF(V85=0,0,Y85/V85))</x:f>
      </x:c>
      <x:c r="AA85" s="72"/>
      <x:c r="AB85" s="68"/>
      <x:c r="AC85" s="73" t="str">
        <x:f>IF(A85="","",IF(K85="Yes",AA85*POWER(0.5,AB85/10000),0))</x:f>
      </x:c>
      <x:c r="AD85" s="73" t="str">
        <x:f>IF(A85="","",IF(K85="Yes",N85*((1-1/(1+I85+J85+Settings!$B$11))-(1-1/(1+I85+J85))),0))</x:f>
      </x:c>
      <x:c r="AE85" s="73" t="str">
        <x:f>IF(A85="","",IF(AC85&gt;0,AD85/AC85,0))</x:f>
      </x:c>
      <x:c r="AF85" s="73" t="str">
        <x:f>IF(A85="","",IF(D85=0,0,MAX(0,(P85+S85-T85)/(D85*(1-(Settings!$B$19+IF(F85="Sell Order",Settings!$B$13,0)))))))</x:f>
      </x:c>
      <x:c r="AG85" s="50" t="str">
        <x:f>IF(A85="","",IF(P85+S85=0,0,Y85/(P85+S85)))</x:f>
      </x:c>
      <x:c r="AH85" s="48" t="str">
        <x:f>IF(A85="","",IF(Y85&gt;0,"PROFIT",IF(Y85&lt;0,"LOSS","BREAK-EVEN")))</x:f>
      </x:c>
    </x:row>
    <x:row r="86">
      <x:c r="A86" s="42"/>
      <x:c r="B86" s="42"/>
      <x:c r="C86" s="42"/>
      <x:c r="D86" s="42"/>
      <x:c r="E86" s="42"/>
      <x:c r="F86" s="42"/>
      <x:c r="G86" s="42"/>
      <x:c r="H86" s="72"/>
      <x:c r="I86" s="76"/>
      <x:c r="J86" s="76"/>
      <x:c r="K86" s="42"/>
      <x:c r="L86" s="50" t="str">
        <x:f>IF(A86="","",I86+J86+IF(K86="Yes",Settings!$B$11,0))</x:f>
      </x:c>
      <x:c r="M86" s="50" t="str">
        <x:f>IF(A86="","",1-1/(1+L86))</x:f>
      </x:c>
      <x:c r="N86" s="73" t="str">
        <x:f>IF(A86="","",SUMIFS('Recipe Lines'!$N$5:$N$504,'Recipe Lines'!$A$5:$A$504,A86,'Recipe Lines'!$H$5:$H$504,"Yes"))</x:f>
      </x:c>
      <x:c r="O86" s="73" t="str">
        <x:f>IF(A86="","",SUMIFS('Recipe Lines'!$N$5:$N$504,'Recipe Lines'!$A$5:$A$504,A86,'Recipe Lines'!$H$5:$H$504,"No"))</x:f>
      </x:c>
      <x:c r="P86" s="73" t="str">
        <x:f>IF(A86="","",N86*(1-M86)+O86)</x:f>
      </x:c>
      <x:c r="Q86" s="46"/>
      <x:c r="R86" s="72"/>
      <x:c r="S86" s="73" t="str">
        <x:f>IF(A86="","",R86*0.1125*Q86)</x:f>
      </x:c>
      <x:c r="T86" s="72"/>
      <x:c r="U86" s="73" t="str">
        <x:f>IF(A86="","",IF(H86&gt;0,H86,IF(F86="Sell Order",SUMIFS('Market Data'!$E$5:$E$504,'Market Data'!$A$5:$A$504,E86,'Market Data'!$B$5:$B$504,B86,'Market Data'!$D$5:$D$504,G86),SUMIFS('Market Data'!$F$5:$F$504,'Market Data'!$A$5:$A$504,E86,'Market Data'!$B$5:$B$504,B86,'Market Data'!$D$5:$D$504,G86))))</x:f>
      </x:c>
      <x:c r="V86" s="73" t="str">
        <x:f>IF(A86="","",U86*D86)</x:f>
      </x:c>
      <x:c r="W86" s="73" t="str">
        <x:f>IF(A86="","",V86*(Settings!$B$19+IF(F86="Sell Order",Settings!$B$13,0)))</x:f>
      </x:c>
      <x:c r="X86" s="73" t="str">
        <x:f>IF(A86="","",V86-W86+T86)</x:f>
      </x:c>
      <x:c r="Y86" s="73" t="str">
        <x:f>IF(A86="","",X86-P86-S86)</x:f>
      </x:c>
      <x:c r="Z86" s="50" t="str">
        <x:f>IF(A86="","",IF(V86=0,0,Y86/V86))</x:f>
      </x:c>
      <x:c r="AA86" s="72"/>
      <x:c r="AB86" s="68"/>
      <x:c r="AC86" s="73" t="str">
        <x:f>IF(A86="","",IF(K86="Yes",AA86*POWER(0.5,AB86/10000),0))</x:f>
      </x:c>
      <x:c r="AD86" s="73" t="str">
        <x:f>IF(A86="","",IF(K86="Yes",N86*((1-1/(1+I86+J86+Settings!$B$11))-(1-1/(1+I86+J86))),0))</x:f>
      </x:c>
      <x:c r="AE86" s="73" t="str">
        <x:f>IF(A86="","",IF(AC86&gt;0,AD86/AC86,0))</x:f>
      </x:c>
      <x:c r="AF86" s="73" t="str">
        <x:f>IF(A86="","",IF(D86=0,0,MAX(0,(P86+S86-T86)/(D86*(1-(Settings!$B$19+IF(F86="Sell Order",Settings!$B$13,0)))))))</x:f>
      </x:c>
      <x:c r="AG86" s="50" t="str">
        <x:f>IF(A86="","",IF(P86+S86=0,0,Y86/(P86+S86)))</x:f>
      </x:c>
      <x:c r="AH86" s="48" t="str">
        <x:f>IF(A86="","",IF(Y86&gt;0,"PROFIT",IF(Y86&lt;0,"LOSS","BREAK-EVEN")))</x:f>
      </x:c>
    </x:row>
    <x:row r="87">
      <x:c r="A87" s="42"/>
      <x:c r="B87" s="42"/>
      <x:c r="C87" s="42"/>
      <x:c r="D87" s="42"/>
      <x:c r="E87" s="42"/>
      <x:c r="F87" s="42"/>
      <x:c r="G87" s="42"/>
      <x:c r="H87" s="72"/>
      <x:c r="I87" s="76"/>
      <x:c r="J87" s="76"/>
      <x:c r="K87" s="42"/>
      <x:c r="L87" s="50" t="str">
        <x:f>IF(A87="","",I87+J87+IF(K87="Yes",Settings!$B$11,0))</x:f>
      </x:c>
      <x:c r="M87" s="50" t="str">
        <x:f>IF(A87="","",1-1/(1+L87))</x:f>
      </x:c>
      <x:c r="N87" s="73" t="str">
        <x:f>IF(A87="","",SUMIFS('Recipe Lines'!$N$5:$N$504,'Recipe Lines'!$A$5:$A$504,A87,'Recipe Lines'!$H$5:$H$504,"Yes"))</x:f>
      </x:c>
      <x:c r="O87" s="73" t="str">
        <x:f>IF(A87="","",SUMIFS('Recipe Lines'!$N$5:$N$504,'Recipe Lines'!$A$5:$A$504,A87,'Recipe Lines'!$H$5:$H$504,"No"))</x:f>
      </x:c>
      <x:c r="P87" s="73" t="str">
        <x:f>IF(A87="","",N87*(1-M87)+O87)</x:f>
      </x:c>
      <x:c r="Q87" s="46"/>
      <x:c r="R87" s="72"/>
      <x:c r="S87" s="73" t="str">
        <x:f>IF(A87="","",R87*0.1125*Q87)</x:f>
      </x:c>
      <x:c r="T87" s="72"/>
      <x:c r="U87" s="73" t="str">
        <x:f>IF(A87="","",IF(H87&gt;0,H87,IF(F87="Sell Order",SUMIFS('Market Data'!$E$5:$E$504,'Market Data'!$A$5:$A$504,E87,'Market Data'!$B$5:$B$504,B87,'Market Data'!$D$5:$D$504,G87),SUMIFS('Market Data'!$F$5:$F$504,'Market Data'!$A$5:$A$504,E87,'Market Data'!$B$5:$B$504,B87,'Market Data'!$D$5:$D$504,G87))))</x:f>
      </x:c>
      <x:c r="V87" s="73" t="str">
        <x:f>IF(A87="","",U87*D87)</x:f>
      </x:c>
      <x:c r="W87" s="73" t="str">
        <x:f>IF(A87="","",V87*(Settings!$B$19+IF(F87="Sell Order",Settings!$B$13,0)))</x:f>
      </x:c>
      <x:c r="X87" s="73" t="str">
        <x:f>IF(A87="","",V87-W87+T87)</x:f>
      </x:c>
      <x:c r="Y87" s="73" t="str">
        <x:f>IF(A87="","",X87-P87-S87)</x:f>
      </x:c>
      <x:c r="Z87" s="50" t="str">
        <x:f>IF(A87="","",IF(V87=0,0,Y87/V87))</x:f>
      </x:c>
      <x:c r="AA87" s="72"/>
      <x:c r="AB87" s="68"/>
      <x:c r="AC87" s="73" t="str">
        <x:f>IF(A87="","",IF(K87="Yes",AA87*POWER(0.5,AB87/10000),0))</x:f>
      </x:c>
      <x:c r="AD87" s="73" t="str">
        <x:f>IF(A87="","",IF(K87="Yes",N87*((1-1/(1+I87+J87+Settings!$B$11))-(1-1/(1+I87+J87))),0))</x:f>
      </x:c>
      <x:c r="AE87" s="73" t="str">
        <x:f>IF(A87="","",IF(AC87&gt;0,AD87/AC87,0))</x:f>
      </x:c>
      <x:c r="AF87" s="73" t="str">
        <x:f>IF(A87="","",IF(D87=0,0,MAX(0,(P87+S87-T87)/(D87*(1-(Settings!$B$19+IF(F87="Sell Order",Settings!$B$13,0)))))))</x:f>
      </x:c>
      <x:c r="AG87" s="50" t="str">
        <x:f>IF(A87="","",IF(P87+S87=0,0,Y87/(P87+S87)))</x:f>
      </x:c>
      <x:c r="AH87" s="48" t="str">
        <x:f>IF(A87="","",IF(Y87&gt;0,"PROFIT",IF(Y87&lt;0,"LOSS","BREAK-EVEN")))</x:f>
      </x:c>
    </x:row>
    <x:row r="88">
      <x:c r="A88" s="42"/>
      <x:c r="B88" s="42"/>
      <x:c r="C88" s="42"/>
      <x:c r="D88" s="42"/>
      <x:c r="E88" s="42"/>
      <x:c r="F88" s="42"/>
      <x:c r="G88" s="42"/>
      <x:c r="H88" s="72"/>
      <x:c r="I88" s="76"/>
      <x:c r="J88" s="76"/>
      <x:c r="K88" s="42"/>
      <x:c r="L88" s="50" t="str">
        <x:f>IF(A88="","",I88+J88+IF(K88="Yes",Settings!$B$11,0))</x:f>
      </x:c>
      <x:c r="M88" s="50" t="str">
        <x:f>IF(A88="","",1-1/(1+L88))</x:f>
      </x:c>
      <x:c r="N88" s="73" t="str">
        <x:f>IF(A88="","",SUMIFS('Recipe Lines'!$N$5:$N$504,'Recipe Lines'!$A$5:$A$504,A88,'Recipe Lines'!$H$5:$H$504,"Yes"))</x:f>
      </x:c>
      <x:c r="O88" s="73" t="str">
        <x:f>IF(A88="","",SUMIFS('Recipe Lines'!$N$5:$N$504,'Recipe Lines'!$A$5:$A$504,A88,'Recipe Lines'!$H$5:$H$504,"No"))</x:f>
      </x:c>
      <x:c r="P88" s="73" t="str">
        <x:f>IF(A88="","",N88*(1-M88)+O88)</x:f>
      </x:c>
      <x:c r="Q88" s="46"/>
      <x:c r="R88" s="72"/>
      <x:c r="S88" s="73" t="str">
        <x:f>IF(A88="","",R88*0.1125*Q88)</x:f>
      </x:c>
      <x:c r="T88" s="72"/>
      <x:c r="U88" s="73" t="str">
        <x:f>IF(A88="","",IF(H88&gt;0,H88,IF(F88="Sell Order",SUMIFS('Market Data'!$E$5:$E$504,'Market Data'!$A$5:$A$504,E88,'Market Data'!$B$5:$B$504,B88,'Market Data'!$D$5:$D$504,G88),SUMIFS('Market Data'!$F$5:$F$504,'Market Data'!$A$5:$A$504,E88,'Market Data'!$B$5:$B$504,B88,'Market Data'!$D$5:$D$504,G88))))</x:f>
      </x:c>
      <x:c r="V88" s="73" t="str">
        <x:f>IF(A88="","",U88*D88)</x:f>
      </x:c>
      <x:c r="W88" s="73" t="str">
        <x:f>IF(A88="","",V88*(Settings!$B$19+IF(F88="Sell Order",Settings!$B$13,0)))</x:f>
      </x:c>
      <x:c r="X88" s="73" t="str">
        <x:f>IF(A88="","",V88-W88+T88)</x:f>
      </x:c>
      <x:c r="Y88" s="73" t="str">
        <x:f>IF(A88="","",X88-P88-S88)</x:f>
      </x:c>
      <x:c r="Z88" s="50" t="str">
        <x:f>IF(A88="","",IF(V88=0,0,Y88/V88))</x:f>
      </x:c>
      <x:c r="AA88" s="72"/>
      <x:c r="AB88" s="68"/>
      <x:c r="AC88" s="73" t="str">
        <x:f>IF(A88="","",IF(K88="Yes",AA88*POWER(0.5,AB88/10000),0))</x:f>
      </x:c>
      <x:c r="AD88" s="73" t="str">
        <x:f>IF(A88="","",IF(K88="Yes",N88*((1-1/(1+I88+J88+Settings!$B$11))-(1-1/(1+I88+J88))),0))</x:f>
      </x:c>
      <x:c r="AE88" s="73" t="str">
        <x:f>IF(A88="","",IF(AC88&gt;0,AD88/AC88,0))</x:f>
      </x:c>
      <x:c r="AF88" s="73" t="str">
        <x:f>IF(A88="","",IF(D88=0,0,MAX(0,(P88+S88-T88)/(D88*(1-(Settings!$B$19+IF(F88="Sell Order",Settings!$B$13,0)))))))</x:f>
      </x:c>
      <x:c r="AG88" s="50" t="str">
        <x:f>IF(A88="","",IF(P88+S88=0,0,Y88/(P88+S88)))</x:f>
      </x:c>
      <x:c r="AH88" s="48" t="str">
        <x:f>IF(A88="","",IF(Y88&gt;0,"PROFIT",IF(Y88&lt;0,"LOSS","BREAK-EVEN")))</x:f>
      </x:c>
    </x:row>
    <x:row r="89">
      <x:c r="A89" s="42"/>
      <x:c r="B89" s="42"/>
      <x:c r="C89" s="42"/>
      <x:c r="D89" s="42"/>
      <x:c r="E89" s="42"/>
      <x:c r="F89" s="42"/>
      <x:c r="G89" s="42"/>
      <x:c r="H89" s="72"/>
      <x:c r="I89" s="76"/>
      <x:c r="J89" s="76"/>
      <x:c r="K89" s="42"/>
      <x:c r="L89" s="50" t="str">
        <x:f>IF(A89="","",I89+J89+IF(K89="Yes",Settings!$B$11,0))</x:f>
      </x:c>
      <x:c r="M89" s="50" t="str">
        <x:f>IF(A89="","",1-1/(1+L89))</x:f>
      </x:c>
      <x:c r="N89" s="73" t="str">
        <x:f>IF(A89="","",SUMIFS('Recipe Lines'!$N$5:$N$504,'Recipe Lines'!$A$5:$A$504,A89,'Recipe Lines'!$H$5:$H$504,"Yes"))</x:f>
      </x:c>
      <x:c r="O89" s="73" t="str">
        <x:f>IF(A89="","",SUMIFS('Recipe Lines'!$N$5:$N$504,'Recipe Lines'!$A$5:$A$504,A89,'Recipe Lines'!$H$5:$H$504,"No"))</x:f>
      </x:c>
      <x:c r="P89" s="73" t="str">
        <x:f>IF(A89="","",N89*(1-M89)+O89)</x:f>
      </x:c>
      <x:c r="Q89" s="46"/>
      <x:c r="R89" s="72"/>
      <x:c r="S89" s="73" t="str">
        <x:f>IF(A89="","",R89*0.1125*Q89)</x:f>
      </x:c>
      <x:c r="T89" s="72"/>
      <x:c r="U89" s="73" t="str">
        <x:f>IF(A89="","",IF(H89&gt;0,H89,IF(F89="Sell Order",SUMIFS('Market Data'!$E$5:$E$504,'Market Data'!$A$5:$A$504,E89,'Market Data'!$B$5:$B$504,B89,'Market Data'!$D$5:$D$504,G89),SUMIFS('Market Data'!$F$5:$F$504,'Market Data'!$A$5:$A$504,E89,'Market Data'!$B$5:$B$504,B89,'Market Data'!$D$5:$D$504,G89))))</x:f>
      </x:c>
      <x:c r="V89" s="73" t="str">
        <x:f>IF(A89="","",U89*D89)</x:f>
      </x:c>
      <x:c r="W89" s="73" t="str">
        <x:f>IF(A89="","",V89*(Settings!$B$19+IF(F89="Sell Order",Settings!$B$13,0)))</x:f>
      </x:c>
      <x:c r="X89" s="73" t="str">
        <x:f>IF(A89="","",V89-W89+T89)</x:f>
      </x:c>
      <x:c r="Y89" s="73" t="str">
        <x:f>IF(A89="","",X89-P89-S89)</x:f>
      </x:c>
      <x:c r="Z89" s="50" t="str">
        <x:f>IF(A89="","",IF(V89=0,0,Y89/V89))</x:f>
      </x:c>
      <x:c r="AA89" s="72"/>
      <x:c r="AB89" s="68"/>
      <x:c r="AC89" s="73" t="str">
        <x:f>IF(A89="","",IF(K89="Yes",AA89*POWER(0.5,AB89/10000),0))</x:f>
      </x:c>
      <x:c r="AD89" s="73" t="str">
        <x:f>IF(A89="","",IF(K89="Yes",N89*((1-1/(1+I89+J89+Settings!$B$11))-(1-1/(1+I89+J89))),0))</x:f>
      </x:c>
      <x:c r="AE89" s="73" t="str">
        <x:f>IF(A89="","",IF(AC89&gt;0,AD89/AC89,0))</x:f>
      </x:c>
      <x:c r="AF89" s="73" t="str">
        <x:f>IF(A89="","",IF(D89=0,0,MAX(0,(P89+S89-T89)/(D89*(1-(Settings!$B$19+IF(F89="Sell Order",Settings!$B$13,0)))))))</x:f>
      </x:c>
      <x:c r="AG89" s="50" t="str">
        <x:f>IF(A89="","",IF(P89+S89=0,0,Y89/(P89+S89)))</x:f>
      </x:c>
      <x:c r="AH89" s="48" t="str">
        <x:f>IF(A89="","",IF(Y89&gt;0,"PROFIT",IF(Y89&lt;0,"LOSS","BREAK-EVEN")))</x:f>
      </x:c>
    </x:row>
    <x:row r="90">
      <x:c r="A90" s="42"/>
      <x:c r="B90" s="42"/>
      <x:c r="C90" s="42"/>
      <x:c r="D90" s="42"/>
      <x:c r="E90" s="42"/>
      <x:c r="F90" s="42"/>
      <x:c r="G90" s="42"/>
      <x:c r="H90" s="72"/>
      <x:c r="I90" s="76"/>
      <x:c r="J90" s="76"/>
      <x:c r="K90" s="42"/>
      <x:c r="L90" s="50" t="str">
        <x:f>IF(A90="","",I90+J90+IF(K90="Yes",Settings!$B$11,0))</x:f>
      </x:c>
      <x:c r="M90" s="50" t="str">
        <x:f>IF(A90="","",1-1/(1+L90))</x:f>
      </x:c>
      <x:c r="N90" s="73" t="str">
        <x:f>IF(A90="","",SUMIFS('Recipe Lines'!$N$5:$N$504,'Recipe Lines'!$A$5:$A$504,A90,'Recipe Lines'!$H$5:$H$504,"Yes"))</x:f>
      </x:c>
      <x:c r="O90" s="73" t="str">
        <x:f>IF(A90="","",SUMIFS('Recipe Lines'!$N$5:$N$504,'Recipe Lines'!$A$5:$A$504,A90,'Recipe Lines'!$H$5:$H$504,"No"))</x:f>
      </x:c>
      <x:c r="P90" s="73" t="str">
        <x:f>IF(A90="","",N90*(1-M90)+O90)</x:f>
      </x:c>
      <x:c r="Q90" s="46"/>
      <x:c r="R90" s="72"/>
      <x:c r="S90" s="73" t="str">
        <x:f>IF(A90="","",R90*0.1125*Q90)</x:f>
      </x:c>
      <x:c r="T90" s="72"/>
      <x:c r="U90" s="73" t="str">
        <x:f>IF(A90="","",IF(H90&gt;0,H90,IF(F90="Sell Order",SUMIFS('Market Data'!$E$5:$E$504,'Market Data'!$A$5:$A$504,E90,'Market Data'!$B$5:$B$504,B90,'Market Data'!$D$5:$D$504,G90),SUMIFS('Market Data'!$F$5:$F$504,'Market Data'!$A$5:$A$504,E90,'Market Data'!$B$5:$B$504,B90,'Market Data'!$D$5:$D$504,G90))))</x:f>
      </x:c>
      <x:c r="V90" s="73" t="str">
        <x:f>IF(A90="","",U90*D90)</x:f>
      </x:c>
      <x:c r="W90" s="73" t="str">
        <x:f>IF(A90="","",V90*(Settings!$B$19+IF(F90="Sell Order",Settings!$B$13,0)))</x:f>
      </x:c>
      <x:c r="X90" s="73" t="str">
        <x:f>IF(A90="","",V90-W90+T90)</x:f>
      </x:c>
      <x:c r="Y90" s="73" t="str">
        <x:f>IF(A90="","",X90-P90-S90)</x:f>
      </x:c>
      <x:c r="Z90" s="50" t="str">
        <x:f>IF(A90="","",IF(V90=0,0,Y90/V90))</x:f>
      </x:c>
      <x:c r="AA90" s="72"/>
      <x:c r="AB90" s="68"/>
      <x:c r="AC90" s="73" t="str">
        <x:f>IF(A90="","",IF(K90="Yes",AA90*POWER(0.5,AB90/10000),0))</x:f>
      </x:c>
      <x:c r="AD90" s="73" t="str">
        <x:f>IF(A90="","",IF(K90="Yes",N90*((1-1/(1+I90+J90+Settings!$B$11))-(1-1/(1+I90+J90))),0))</x:f>
      </x:c>
      <x:c r="AE90" s="73" t="str">
        <x:f>IF(A90="","",IF(AC90&gt;0,AD90/AC90,0))</x:f>
      </x:c>
      <x:c r="AF90" s="73" t="str">
        <x:f>IF(A90="","",IF(D90=0,0,MAX(0,(P90+S90-T90)/(D90*(1-(Settings!$B$19+IF(F90="Sell Order",Settings!$B$13,0)))))))</x:f>
      </x:c>
      <x:c r="AG90" s="50" t="str">
        <x:f>IF(A90="","",IF(P90+S90=0,0,Y90/(P90+S90)))</x:f>
      </x:c>
      <x:c r="AH90" s="48" t="str">
        <x:f>IF(A90="","",IF(Y90&gt;0,"PROFIT",IF(Y90&lt;0,"LOSS","BREAK-EVEN")))</x:f>
      </x:c>
    </x:row>
    <x:row r="91">
      <x:c r="A91" s="42"/>
      <x:c r="B91" s="42"/>
      <x:c r="C91" s="42"/>
      <x:c r="D91" s="42"/>
      <x:c r="E91" s="42"/>
      <x:c r="F91" s="42"/>
      <x:c r="G91" s="42"/>
      <x:c r="H91" s="72"/>
      <x:c r="I91" s="76"/>
      <x:c r="J91" s="76"/>
      <x:c r="K91" s="42"/>
      <x:c r="L91" s="50" t="str">
        <x:f>IF(A91="","",I91+J91+IF(K91="Yes",Settings!$B$11,0))</x:f>
      </x:c>
      <x:c r="M91" s="50" t="str">
        <x:f>IF(A91="","",1-1/(1+L91))</x:f>
      </x:c>
      <x:c r="N91" s="73" t="str">
        <x:f>IF(A91="","",SUMIFS('Recipe Lines'!$N$5:$N$504,'Recipe Lines'!$A$5:$A$504,A91,'Recipe Lines'!$H$5:$H$504,"Yes"))</x:f>
      </x:c>
      <x:c r="O91" s="73" t="str">
        <x:f>IF(A91="","",SUMIFS('Recipe Lines'!$N$5:$N$504,'Recipe Lines'!$A$5:$A$504,A91,'Recipe Lines'!$H$5:$H$504,"No"))</x:f>
      </x:c>
      <x:c r="P91" s="73" t="str">
        <x:f>IF(A91="","",N91*(1-M91)+O91)</x:f>
      </x:c>
      <x:c r="Q91" s="46"/>
      <x:c r="R91" s="72"/>
      <x:c r="S91" s="73" t="str">
        <x:f>IF(A91="","",R91*0.1125*Q91)</x:f>
      </x:c>
      <x:c r="T91" s="72"/>
      <x:c r="U91" s="73" t="str">
        <x:f>IF(A91="","",IF(H91&gt;0,H91,IF(F91="Sell Order",SUMIFS('Market Data'!$E$5:$E$504,'Market Data'!$A$5:$A$504,E91,'Market Data'!$B$5:$B$504,B91,'Market Data'!$D$5:$D$504,G91),SUMIFS('Market Data'!$F$5:$F$504,'Market Data'!$A$5:$A$504,E91,'Market Data'!$B$5:$B$504,B91,'Market Data'!$D$5:$D$504,G91))))</x:f>
      </x:c>
      <x:c r="V91" s="73" t="str">
        <x:f>IF(A91="","",U91*D91)</x:f>
      </x:c>
      <x:c r="W91" s="73" t="str">
        <x:f>IF(A91="","",V91*(Settings!$B$19+IF(F91="Sell Order",Settings!$B$13,0)))</x:f>
      </x:c>
      <x:c r="X91" s="73" t="str">
        <x:f>IF(A91="","",V91-W91+T91)</x:f>
      </x:c>
      <x:c r="Y91" s="73" t="str">
        <x:f>IF(A91="","",X91-P91-S91)</x:f>
      </x:c>
      <x:c r="Z91" s="50" t="str">
        <x:f>IF(A91="","",IF(V91=0,0,Y91/V91))</x:f>
      </x:c>
      <x:c r="AA91" s="72"/>
      <x:c r="AB91" s="68"/>
      <x:c r="AC91" s="73" t="str">
        <x:f>IF(A91="","",IF(K91="Yes",AA91*POWER(0.5,AB91/10000),0))</x:f>
      </x:c>
      <x:c r="AD91" s="73" t="str">
        <x:f>IF(A91="","",IF(K91="Yes",N91*((1-1/(1+I91+J91+Settings!$B$11))-(1-1/(1+I91+J91))),0))</x:f>
      </x:c>
      <x:c r="AE91" s="73" t="str">
        <x:f>IF(A91="","",IF(AC91&gt;0,AD91/AC91,0))</x:f>
      </x:c>
      <x:c r="AF91" s="73" t="str">
        <x:f>IF(A91="","",IF(D91=0,0,MAX(0,(P91+S91-T91)/(D91*(1-(Settings!$B$19+IF(F91="Sell Order",Settings!$B$13,0)))))))</x:f>
      </x:c>
      <x:c r="AG91" s="50" t="str">
        <x:f>IF(A91="","",IF(P91+S91=0,0,Y91/(P91+S91)))</x:f>
      </x:c>
      <x:c r="AH91" s="48" t="str">
        <x:f>IF(A91="","",IF(Y91&gt;0,"PROFIT",IF(Y91&lt;0,"LOSS","BREAK-EVEN")))</x:f>
      </x:c>
    </x:row>
    <x:row r="92">
      <x:c r="A92" s="42"/>
      <x:c r="B92" s="42"/>
      <x:c r="C92" s="42"/>
      <x:c r="D92" s="42"/>
      <x:c r="E92" s="42"/>
      <x:c r="F92" s="42"/>
      <x:c r="G92" s="42"/>
      <x:c r="H92" s="72"/>
      <x:c r="I92" s="76"/>
      <x:c r="J92" s="76"/>
      <x:c r="K92" s="42"/>
      <x:c r="L92" s="50" t="str">
        <x:f>IF(A92="","",I92+J92+IF(K92="Yes",Settings!$B$11,0))</x:f>
      </x:c>
      <x:c r="M92" s="50" t="str">
        <x:f>IF(A92="","",1-1/(1+L92))</x:f>
      </x:c>
      <x:c r="N92" s="73" t="str">
        <x:f>IF(A92="","",SUMIFS('Recipe Lines'!$N$5:$N$504,'Recipe Lines'!$A$5:$A$504,A92,'Recipe Lines'!$H$5:$H$504,"Yes"))</x:f>
      </x:c>
      <x:c r="O92" s="73" t="str">
        <x:f>IF(A92="","",SUMIFS('Recipe Lines'!$N$5:$N$504,'Recipe Lines'!$A$5:$A$504,A92,'Recipe Lines'!$H$5:$H$504,"No"))</x:f>
      </x:c>
      <x:c r="P92" s="73" t="str">
        <x:f>IF(A92="","",N92*(1-M92)+O92)</x:f>
      </x:c>
      <x:c r="Q92" s="46"/>
      <x:c r="R92" s="72"/>
      <x:c r="S92" s="73" t="str">
        <x:f>IF(A92="","",R92*0.1125*Q92)</x:f>
      </x:c>
      <x:c r="T92" s="72"/>
      <x:c r="U92" s="73" t="str">
        <x:f>IF(A92="","",IF(H92&gt;0,H92,IF(F92="Sell Order",SUMIFS('Market Data'!$E$5:$E$504,'Market Data'!$A$5:$A$504,E92,'Market Data'!$B$5:$B$504,B92,'Market Data'!$D$5:$D$504,G92),SUMIFS('Market Data'!$F$5:$F$504,'Market Data'!$A$5:$A$504,E92,'Market Data'!$B$5:$B$504,B92,'Market Data'!$D$5:$D$504,G92))))</x:f>
      </x:c>
      <x:c r="V92" s="73" t="str">
        <x:f>IF(A92="","",U92*D92)</x:f>
      </x:c>
      <x:c r="W92" s="73" t="str">
        <x:f>IF(A92="","",V92*(Settings!$B$19+IF(F92="Sell Order",Settings!$B$13,0)))</x:f>
      </x:c>
      <x:c r="X92" s="73" t="str">
        <x:f>IF(A92="","",V92-W92+T92)</x:f>
      </x:c>
      <x:c r="Y92" s="73" t="str">
        <x:f>IF(A92="","",X92-P92-S92)</x:f>
      </x:c>
      <x:c r="Z92" s="50" t="str">
        <x:f>IF(A92="","",IF(V92=0,0,Y92/V92))</x:f>
      </x:c>
      <x:c r="AA92" s="72"/>
      <x:c r="AB92" s="68"/>
      <x:c r="AC92" s="73" t="str">
        <x:f>IF(A92="","",IF(K92="Yes",AA92*POWER(0.5,AB92/10000),0))</x:f>
      </x:c>
      <x:c r="AD92" s="73" t="str">
        <x:f>IF(A92="","",IF(K92="Yes",N92*((1-1/(1+I92+J92+Settings!$B$11))-(1-1/(1+I92+J92))),0))</x:f>
      </x:c>
      <x:c r="AE92" s="73" t="str">
        <x:f>IF(A92="","",IF(AC92&gt;0,AD92/AC92,0))</x:f>
      </x:c>
      <x:c r="AF92" s="73" t="str">
        <x:f>IF(A92="","",IF(D92=0,0,MAX(0,(P92+S92-T92)/(D92*(1-(Settings!$B$19+IF(F92="Sell Order",Settings!$B$13,0)))))))</x:f>
      </x:c>
      <x:c r="AG92" s="50" t="str">
        <x:f>IF(A92="","",IF(P92+S92=0,0,Y92/(P92+S92)))</x:f>
      </x:c>
      <x:c r="AH92" s="48" t="str">
        <x:f>IF(A92="","",IF(Y92&gt;0,"PROFIT",IF(Y92&lt;0,"LOSS","BREAK-EVEN")))</x:f>
      </x:c>
    </x:row>
    <x:row r="93">
      <x:c r="A93" s="42"/>
      <x:c r="B93" s="42"/>
      <x:c r="C93" s="42"/>
      <x:c r="D93" s="42"/>
      <x:c r="E93" s="42"/>
      <x:c r="F93" s="42"/>
      <x:c r="G93" s="42"/>
      <x:c r="H93" s="72"/>
      <x:c r="I93" s="76"/>
      <x:c r="J93" s="76"/>
      <x:c r="K93" s="42"/>
      <x:c r="L93" s="50" t="str">
        <x:f>IF(A93="","",I93+J93+IF(K93="Yes",Settings!$B$11,0))</x:f>
      </x:c>
      <x:c r="M93" s="50" t="str">
        <x:f>IF(A93="","",1-1/(1+L93))</x:f>
      </x:c>
      <x:c r="N93" s="73" t="str">
        <x:f>IF(A93="","",SUMIFS('Recipe Lines'!$N$5:$N$504,'Recipe Lines'!$A$5:$A$504,A93,'Recipe Lines'!$H$5:$H$504,"Yes"))</x:f>
      </x:c>
      <x:c r="O93" s="73" t="str">
        <x:f>IF(A93="","",SUMIFS('Recipe Lines'!$N$5:$N$504,'Recipe Lines'!$A$5:$A$504,A93,'Recipe Lines'!$H$5:$H$504,"No"))</x:f>
      </x:c>
      <x:c r="P93" s="73" t="str">
        <x:f>IF(A93="","",N93*(1-M93)+O93)</x:f>
      </x:c>
      <x:c r="Q93" s="46"/>
      <x:c r="R93" s="72"/>
      <x:c r="S93" s="73" t="str">
        <x:f>IF(A93="","",R93*0.1125*Q93)</x:f>
      </x:c>
      <x:c r="T93" s="72"/>
      <x:c r="U93" s="73" t="str">
        <x:f>IF(A93="","",IF(H93&gt;0,H93,IF(F93="Sell Order",SUMIFS('Market Data'!$E$5:$E$504,'Market Data'!$A$5:$A$504,E93,'Market Data'!$B$5:$B$504,B93,'Market Data'!$D$5:$D$504,G93),SUMIFS('Market Data'!$F$5:$F$504,'Market Data'!$A$5:$A$504,E93,'Market Data'!$B$5:$B$504,B93,'Market Data'!$D$5:$D$504,G93))))</x:f>
      </x:c>
      <x:c r="V93" s="73" t="str">
        <x:f>IF(A93="","",U93*D93)</x:f>
      </x:c>
      <x:c r="W93" s="73" t="str">
        <x:f>IF(A93="","",V93*(Settings!$B$19+IF(F93="Sell Order",Settings!$B$13,0)))</x:f>
      </x:c>
      <x:c r="X93" s="73" t="str">
        <x:f>IF(A93="","",V93-W93+T93)</x:f>
      </x:c>
      <x:c r="Y93" s="73" t="str">
        <x:f>IF(A93="","",X93-P93-S93)</x:f>
      </x:c>
      <x:c r="Z93" s="50" t="str">
        <x:f>IF(A93="","",IF(V93=0,0,Y93/V93))</x:f>
      </x:c>
      <x:c r="AA93" s="72"/>
      <x:c r="AB93" s="68"/>
      <x:c r="AC93" s="73" t="str">
        <x:f>IF(A93="","",IF(K93="Yes",AA93*POWER(0.5,AB93/10000),0))</x:f>
      </x:c>
      <x:c r="AD93" s="73" t="str">
        <x:f>IF(A93="","",IF(K93="Yes",N93*((1-1/(1+I93+J93+Settings!$B$11))-(1-1/(1+I93+J93))),0))</x:f>
      </x:c>
      <x:c r="AE93" s="73" t="str">
        <x:f>IF(A93="","",IF(AC93&gt;0,AD93/AC93,0))</x:f>
      </x:c>
      <x:c r="AF93" s="73" t="str">
        <x:f>IF(A93="","",IF(D93=0,0,MAX(0,(P93+S93-T93)/(D93*(1-(Settings!$B$19+IF(F93="Sell Order",Settings!$B$13,0)))))))</x:f>
      </x:c>
      <x:c r="AG93" s="50" t="str">
        <x:f>IF(A93="","",IF(P93+S93=0,0,Y93/(P93+S93)))</x:f>
      </x:c>
      <x:c r="AH93" s="48" t="str">
        <x:f>IF(A93="","",IF(Y93&gt;0,"PROFIT",IF(Y93&lt;0,"LOSS","BREAK-EVEN")))</x:f>
      </x:c>
    </x:row>
    <x:row r="94">
      <x:c r="A94" s="42"/>
      <x:c r="B94" s="42"/>
      <x:c r="C94" s="42"/>
      <x:c r="D94" s="42"/>
      <x:c r="E94" s="42"/>
      <x:c r="F94" s="42"/>
      <x:c r="G94" s="42"/>
      <x:c r="H94" s="72"/>
      <x:c r="I94" s="76"/>
      <x:c r="J94" s="76"/>
      <x:c r="K94" s="42"/>
      <x:c r="L94" s="50" t="str">
        <x:f>IF(A94="","",I94+J94+IF(K94="Yes",Settings!$B$11,0))</x:f>
      </x:c>
      <x:c r="M94" s="50" t="str">
        <x:f>IF(A94="","",1-1/(1+L94))</x:f>
      </x:c>
      <x:c r="N94" s="73" t="str">
        <x:f>IF(A94="","",SUMIFS('Recipe Lines'!$N$5:$N$504,'Recipe Lines'!$A$5:$A$504,A94,'Recipe Lines'!$H$5:$H$504,"Yes"))</x:f>
      </x:c>
      <x:c r="O94" s="73" t="str">
        <x:f>IF(A94="","",SUMIFS('Recipe Lines'!$N$5:$N$504,'Recipe Lines'!$A$5:$A$504,A94,'Recipe Lines'!$H$5:$H$504,"No"))</x:f>
      </x:c>
      <x:c r="P94" s="73" t="str">
        <x:f>IF(A94="","",N94*(1-M94)+O94)</x:f>
      </x:c>
      <x:c r="Q94" s="46"/>
      <x:c r="R94" s="72"/>
      <x:c r="S94" s="73" t="str">
        <x:f>IF(A94="","",R94*0.1125*Q94)</x:f>
      </x:c>
      <x:c r="T94" s="72"/>
      <x:c r="U94" s="73" t="str">
        <x:f>IF(A94="","",IF(H94&gt;0,H94,IF(F94="Sell Order",SUMIFS('Market Data'!$E$5:$E$504,'Market Data'!$A$5:$A$504,E94,'Market Data'!$B$5:$B$504,B94,'Market Data'!$D$5:$D$504,G94),SUMIFS('Market Data'!$F$5:$F$504,'Market Data'!$A$5:$A$504,E94,'Market Data'!$B$5:$B$504,B94,'Market Data'!$D$5:$D$504,G94))))</x:f>
      </x:c>
      <x:c r="V94" s="73" t="str">
        <x:f>IF(A94="","",U94*D94)</x:f>
      </x:c>
      <x:c r="W94" s="73" t="str">
        <x:f>IF(A94="","",V94*(Settings!$B$19+IF(F94="Sell Order",Settings!$B$13,0)))</x:f>
      </x:c>
      <x:c r="X94" s="73" t="str">
        <x:f>IF(A94="","",V94-W94+T94)</x:f>
      </x:c>
      <x:c r="Y94" s="73" t="str">
        <x:f>IF(A94="","",X94-P94-S94)</x:f>
      </x:c>
      <x:c r="Z94" s="50" t="str">
        <x:f>IF(A94="","",IF(V94=0,0,Y94/V94))</x:f>
      </x:c>
      <x:c r="AA94" s="72"/>
      <x:c r="AB94" s="68"/>
      <x:c r="AC94" s="73" t="str">
        <x:f>IF(A94="","",IF(K94="Yes",AA94*POWER(0.5,AB94/10000),0))</x:f>
      </x:c>
      <x:c r="AD94" s="73" t="str">
        <x:f>IF(A94="","",IF(K94="Yes",N94*((1-1/(1+I94+J94+Settings!$B$11))-(1-1/(1+I94+J94))),0))</x:f>
      </x:c>
      <x:c r="AE94" s="73" t="str">
        <x:f>IF(A94="","",IF(AC94&gt;0,AD94/AC94,0))</x:f>
      </x:c>
      <x:c r="AF94" s="73" t="str">
        <x:f>IF(A94="","",IF(D94=0,0,MAX(0,(P94+S94-T94)/(D94*(1-(Settings!$B$19+IF(F94="Sell Order",Settings!$B$13,0)))))))</x:f>
      </x:c>
      <x:c r="AG94" s="50" t="str">
        <x:f>IF(A94="","",IF(P94+S94=0,0,Y94/(P94+S94)))</x:f>
      </x:c>
      <x:c r="AH94" s="48" t="str">
        <x:f>IF(A94="","",IF(Y94&gt;0,"PROFIT",IF(Y94&lt;0,"LOSS","BREAK-EVEN")))</x:f>
      </x:c>
    </x:row>
    <x:row r="95">
      <x:c r="A95" s="42"/>
      <x:c r="B95" s="42"/>
      <x:c r="C95" s="42"/>
      <x:c r="D95" s="42"/>
      <x:c r="E95" s="42"/>
      <x:c r="F95" s="42"/>
      <x:c r="G95" s="42"/>
      <x:c r="H95" s="72"/>
      <x:c r="I95" s="76"/>
      <x:c r="J95" s="76"/>
      <x:c r="K95" s="42"/>
      <x:c r="L95" s="50" t="str">
        <x:f>IF(A95="","",I95+J95+IF(K95="Yes",Settings!$B$11,0))</x:f>
      </x:c>
      <x:c r="M95" s="50" t="str">
        <x:f>IF(A95="","",1-1/(1+L95))</x:f>
      </x:c>
      <x:c r="N95" s="73" t="str">
        <x:f>IF(A95="","",SUMIFS('Recipe Lines'!$N$5:$N$504,'Recipe Lines'!$A$5:$A$504,A95,'Recipe Lines'!$H$5:$H$504,"Yes"))</x:f>
      </x:c>
      <x:c r="O95" s="73" t="str">
        <x:f>IF(A95="","",SUMIFS('Recipe Lines'!$N$5:$N$504,'Recipe Lines'!$A$5:$A$504,A95,'Recipe Lines'!$H$5:$H$504,"No"))</x:f>
      </x:c>
      <x:c r="P95" s="73" t="str">
        <x:f>IF(A95="","",N95*(1-M95)+O95)</x:f>
      </x:c>
      <x:c r="Q95" s="46"/>
      <x:c r="R95" s="72"/>
      <x:c r="S95" s="73" t="str">
        <x:f>IF(A95="","",R95*0.1125*Q95)</x:f>
      </x:c>
      <x:c r="T95" s="72"/>
      <x:c r="U95" s="73" t="str">
        <x:f>IF(A95="","",IF(H95&gt;0,H95,IF(F95="Sell Order",SUMIFS('Market Data'!$E$5:$E$504,'Market Data'!$A$5:$A$504,E95,'Market Data'!$B$5:$B$504,B95,'Market Data'!$D$5:$D$504,G95),SUMIFS('Market Data'!$F$5:$F$504,'Market Data'!$A$5:$A$504,E95,'Market Data'!$B$5:$B$504,B95,'Market Data'!$D$5:$D$504,G95))))</x:f>
      </x:c>
      <x:c r="V95" s="73" t="str">
        <x:f>IF(A95="","",U95*D95)</x:f>
      </x:c>
      <x:c r="W95" s="73" t="str">
        <x:f>IF(A95="","",V95*(Settings!$B$19+IF(F95="Sell Order",Settings!$B$13,0)))</x:f>
      </x:c>
      <x:c r="X95" s="73" t="str">
        <x:f>IF(A95="","",V95-W95+T95)</x:f>
      </x:c>
      <x:c r="Y95" s="73" t="str">
        <x:f>IF(A95="","",X95-P95-S95)</x:f>
      </x:c>
      <x:c r="Z95" s="50" t="str">
        <x:f>IF(A95="","",IF(V95=0,0,Y95/V95))</x:f>
      </x:c>
      <x:c r="AA95" s="72"/>
      <x:c r="AB95" s="68"/>
      <x:c r="AC95" s="73" t="str">
        <x:f>IF(A95="","",IF(K95="Yes",AA95*POWER(0.5,AB95/10000),0))</x:f>
      </x:c>
      <x:c r="AD95" s="73" t="str">
        <x:f>IF(A95="","",IF(K95="Yes",N95*((1-1/(1+I95+J95+Settings!$B$11))-(1-1/(1+I95+J95))),0))</x:f>
      </x:c>
      <x:c r="AE95" s="73" t="str">
        <x:f>IF(A95="","",IF(AC95&gt;0,AD95/AC95,0))</x:f>
      </x:c>
      <x:c r="AF95" s="73" t="str">
        <x:f>IF(A95="","",IF(D95=0,0,MAX(0,(P95+S95-T95)/(D95*(1-(Settings!$B$19+IF(F95="Sell Order",Settings!$B$13,0)))))))</x:f>
      </x:c>
      <x:c r="AG95" s="50" t="str">
        <x:f>IF(A95="","",IF(P95+S95=0,0,Y95/(P95+S95)))</x:f>
      </x:c>
      <x:c r="AH95" s="48" t="str">
        <x:f>IF(A95="","",IF(Y95&gt;0,"PROFIT",IF(Y95&lt;0,"LOSS","BREAK-EVEN")))</x:f>
      </x:c>
    </x:row>
    <x:row r="96">
      <x:c r="A96" s="42"/>
      <x:c r="B96" s="42"/>
      <x:c r="C96" s="42"/>
      <x:c r="D96" s="42"/>
      <x:c r="E96" s="42"/>
      <x:c r="F96" s="42"/>
      <x:c r="G96" s="42"/>
      <x:c r="H96" s="72"/>
      <x:c r="I96" s="76"/>
      <x:c r="J96" s="76"/>
      <x:c r="K96" s="42"/>
      <x:c r="L96" s="50" t="str">
        <x:f>IF(A96="","",I96+J96+IF(K96="Yes",Settings!$B$11,0))</x:f>
      </x:c>
      <x:c r="M96" s="50" t="str">
        <x:f>IF(A96="","",1-1/(1+L96))</x:f>
      </x:c>
      <x:c r="N96" s="73" t="str">
        <x:f>IF(A96="","",SUMIFS('Recipe Lines'!$N$5:$N$504,'Recipe Lines'!$A$5:$A$504,A96,'Recipe Lines'!$H$5:$H$504,"Yes"))</x:f>
      </x:c>
      <x:c r="O96" s="73" t="str">
        <x:f>IF(A96="","",SUMIFS('Recipe Lines'!$N$5:$N$504,'Recipe Lines'!$A$5:$A$504,A96,'Recipe Lines'!$H$5:$H$504,"No"))</x:f>
      </x:c>
      <x:c r="P96" s="73" t="str">
        <x:f>IF(A96="","",N96*(1-M96)+O96)</x:f>
      </x:c>
      <x:c r="Q96" s="46"/>
      <x:c r="R96" s="72"/>
      <x:c r="S96" s="73" t="str">
        <x:f>IF(A96="","",R96*0.1125*Q96)</x:f>
      </x:c>
      <x:c r="T96" s="72"/>
      <x:c r="U96" s="73" t="str">
        <x:f>IF(A96="","",IF(H96&gt;0,H96,IF(F96="Sell Order",SUMIFS('Market Data'!$E$5:$E$504,'Market Data'!$A$5:$A$504,E96,'Market Data'!$B$5:$B$504,B96,'Market Data'!$D$5:$D$504,G96),SUMIFS('Market Data'!$F$5:$F$504,'Market Data'!$A$5:$A$504,E96,'Market Data'!$B$5:$B$504,B96,'Market Data'!$D$5:$D$504,G96))))</x:f>
      </x:c>
      <x:c r="V96" s="73" t="str">
        <x:f>IF(A96="","",U96*D96)</x:f>
      </x:c>
      <x:c r="W96" s="73" t="str">
        <x:f>IF(A96="","",V96*(Settings!$B$19+IF(F96="Sell Order",Settings!$B$13,0)))</x:f>
      </x:c>
      <x:c r="X96" s="73" t="str">
        <x:f>IF(A96="","",V96-W96+T96)</x:f>
      </x:c>
      <x:c r="Y96" s="73" t="str">
        <x:f>IF(A96="","",X96-P96-S96)</x:f>
      </x:c>
      <x:c r="Z96" s="50" t="str">
        <x:f>IF(A96="","",IF(V96=0,0,Y96/V96))</x:f>
      </x:c>
      <x:c r="AA96" s="72"/>
      <x:c r="AB96" s="68"/>
      <x:c r="AC96" s="73" t="str">
        <x:f>IF(A96="","",IF(K96="Yes",AA96*POWER(0.5,AB96/10000),0))</x:f>
      </x:c>
      <x:c r="AD96" s="73" t="str">
        <x:f>IF(A96="","",IF(K96="Yes",N96*((1-1/(1+I96+J96+Settings!$B$11))-(1-1/(1+I96+J96))),0))</x:f>
      </x:c>
      <x:c r="AE96" s="73" t="str">
        <x:f>IF(A96="","",IF(AC96&gt;0,AD96/AC96,0))</x:f>
      </x:c>
      <x:c r="AF96" s="73" t="str">
        <x:f>IF(A96="","",IF(D96=0,0,MAX(0,(P96+S96-T96)/(D96*(1-(Settings!$B$19+IF(F96="Sell Order",Settings!$B$13,0)))))))</x:f>
      </x:c>
      <x:c r="AG96" s="50" t="str">
        <x:f>IF(A96="","",IF(P96+S96=0,0,Y96/(P96+S96)))</x:f>
      </x:c>
      <x:c r="AH96" s="48" t="str">
        <x:f>IF(A96="","",IF(Y96&gt;0,"PROFIT",IF(Y96&lt;0,"LOSS","BREAK-EVEN")))</x:f>
      </x:c>
    </x:row>
    <x:row r="97">
      <x:c r="A97" s="42"/>
      <x:c r="B97" s="42"/>
      <x:c r="C97" s="42"/>
      <x:c r="D97" s="42"/>
      <x:c r="E97" s="42"/>
      <x:c r="F97" s="42"/>
      <x:c r="G97" s="42"/>
      <x:c r="H97" s="72"/>
      <x:c r="I97" s="76"/>
      <x:c r="J97" s="76"/>
      <x:c r="K97" s="42"/>
      <x:c r="L97" s="50" t="str">
        <x:f>IF(A97="","",I97+J97+IF(K97="Yes",Settings!$B$11,0))</x:f>
      </x:c>
      <x:c r="M97" s="50" t="str">
        <x:f>IF(A97="","",1-1/(1+L97))</x:f>
      </x:c>
      <x:c r="N97" s="73" t="str">
        <x:f>IF(A97="","",SUMIFS('Recipe Lines'!$N$5:$N$504,'Recipe Lines'!$A$5:$A$504,A97,'Recipe Lines'!$H$5:$H$504,"Yes"))</x:f>
      </x:c>
      <x:c r="O97" s="73" t="str">
        <x:f>IF(A97="","",SUMIFS('Recipe Lines'!$N$5:$N$504,'Recipe Lines'!$A$5:$A$504,A97,'Recipe Lines'!$H$5:$H$504,"No"))</x:f>
      </x:c>
      <x:c r="P97" s="73" t="str">
        <x:f>IF(A97="","",N97*(1-M97)+O97)</x:f>
      </x:c>
      <x:c r="Q97" s="46"/>
      <x:c r="R97" s="72"/>
      <x:c r="S97" s="73" t="str">
        <x:f>IF(A97="","",R97*0.1125*Q97)</x:f>
      </x:c>
      <x:c r="T97" s="72"/>
      <x:c r="U97" s="73" t="str">
        <x:f>IF(A97="","",IF(H97&gt;0,H97,IF(F97="Sell Order",SUMIFS('Market Data'!$E$5:$E$504,'Market Data'!$A$5:$A$504,E97,'Market Data'!$B$5:$B$504,B97,'Market Data'!$D$5:$D$504,G97),SUMIFS('Market Data'!$F$5:$F$504,'Market Data'!$A$5:$A$504,E97,'Market Data'!$B$5:$B$504,B97,'Market Data'!$D$5:$D$504,G97))))</x:f>
      </x:c>
      <x:c r="V97" s="73" t="str">
        <x:f>IF(A97="","",U97*D97)</x:f>
      </x:c>
      <x:c r="W97" s="73" t="str">
        <x:f>IF(A97="","",V97*(Settings!$B$19+IF(F97="Sell Order",Settings!$B$13,0)))</x:f>
      </x:c>
      <x:c r="X97" s="73" t="str">
        <x:f>IF(A97="","",V97-W97+T97)</x:f>
      </x:c>
      <x:c r="Y97" s="73" t="str">
        <x:f>IF(A97="","",X97-P97-S97)</x:f>
      </x:c>
      <x:c r="Z97" s="50" t="str">
        <x:f>IF(A97="","",IF(V97=0,0,Y97/V97))</x:f>
      </x:c>
      <x:c r="AA97" s="72"/>
      <x:c r="AB97" s="68"/>
      <x:c r="AC97" s="73" t="str">
        <x:f>IF(A97="","",IF(K97="Yes",AA97*POWER(0.5,AB97/10000),0))</x:f>
      </x:c>
      <x:c r="AD97" s="73" t="str">
        <x:f>IF(A97="","",IF(K97="Yes",N97*((1-1/(1+I97+J97+Settings!$B$11))-(1-1/(1+I97+J97))),0))</x:f>
      </x:c>
      <x:c r="AE97" s="73" t="str">
        <x:f>IF(A97="","",IF(AC97&gt;0,AD97/AC97,0))</x:f>
      </x:c>
      <x:c r="AF97" s="73" t="str">
        <x:f>IF(A97="","",IF(D97=0,0,MAX(0,(P97+S97-T97)/(D97*(1-(Settings!$B$19+IF(F97="Sell Order",Settings!$B$13,0)))))))</x:f>
      </x:c>
      <x:c r="AG97" s="50" t="str">
        <x:f>IF(A97="","",IF(P97+S97=0,0,Y97/(P97+S97)))</x:f>
      </x:c>
      <x:c r="AH97" s="48" t="str">
        <x:f>IF(A97="","",IF(Y97&gt;0,"PROFIT",IF(Y97&lt;0,"LOSS","BREAK-EVEN")))</x:f>
      </x:c>
    </x:row>
    <x:row r="98">
      <x:c r="A98" s="42"/>
      <x:c r="B98" s="42"/>
      <x:c r="C98" s="42"/>
      <x:c r="D98" s="42"/>
      <x:c r="E98" s="42"/>
      <x:c r="F98" s="42"/>
      <x:c r="G98" s="42"/>
      <x:c r="H98" s="72"/>
      <x:c r="I98" s="76"/>
      <x:c r="J98" s="76"/>
      <x:c r="K98" s="42"/>
      <x:c r="L98" s="50" t="str">
        <x:f>IF(A98="","",I98+J98+IF(K98="Yes",Settings!$B$11,0))</x:f>
      </x:c>
      <x:c r="M98" s="50" t="str">
        <x:f>IF(A98="","",1-1/(1+L98))</x:f>
      </x:c>
      <x:c r="N98" s="73" t="str">
        <x:f>IF(A98="","",SUMIFS('Recipe Lines'!$N$5:$N$504,'Recipe Lines'!$A$5:$A$504,A98,'Recipe Lines'!$H$5:$H$504,"Yes"))</x:f>
      </x:c>
      <x:c r="O98" s="73" t="str">
        <x:f>IF(A98="","",SUMIFS('Recipe Lines'!$N$5:$N$504,'Recipe Lines'!$A$5:$A$504,A98,'Recipe Lines'!$H$5:$H$504,"No"))</x:f>
      </x:c>
      <x:c r="P98" s="73" t="str">
        <x:f>IF(A98="","",N98*(1-M98)+O98)</x:f>
      </x:c>
      <x:c r="Q98" s="46"/>
      <x:c r="R98" s="72"/>
      <x:c r="S98" s="73" t="str">
        <x:f>IF(A98="","",R98*0.1125*Q98)</x:f>
      </x:c>
      <x:c r="T98" s="72"/>
      <x:c r="U98" s="73" t="str">
        <x:f>IF(A98="","",IF(H98&gt;0,H98,IF(F98="Sell Order",SUMIFS('Market Data'!$E$5:$E$504,'Market Data'!$A$5:$A$504,E98,'Market Data'!$B$5:$B$504,B98,'Market Data'!$D$5:$D$504,G98),SUMIFS('Market Data'!$F$5:$F$504,'Market Data'!$A$5:$A$504,E98,'Market Data'!$B$5:$B$504,B98,'Market Data'!$D$5:$D$504,G98))))</x:f>
      </x:c>
      <x:c r="V98" s="73" t="str">
        <x:f>IF(A98="","",U98*D98)</x:f>
      </x:c>
      <x:c r="W98" s="73" t="str">
        <x:f>IF(A98="","",V98*(Settings!$B$19+IF(F98="Sell Order",Settings!$B$13,0)))</x:f>
      </x:c>
      <x:c r="X98" s="73" t="str">
        <x:f>IF(A98="","",V98-W98+T98)</x:f>
      </x:c>
      <x:c r="Y98" s="73" t="str">
        <x:f>IF(A98="","",X98-P98-S98)</x:f>
      </x:c>
      <x:c r="Z98" s="50" t="str">
        <x:f>IF(A98="","",IF(V98=0,0,Y98/V98))</x:f>
      </x:c>
      <x:c r="AA98" s="72"/>
      <x:c r="AB98" s="68"/>
      <x:c r="AC98" s="73" t="str">
        <x:f>IF(A98="","",IF(K98="Yes",AA98*POWER(0.5,AB98/10000),0))</x:f>
      </x:c>
      <x:c r="AD98" s="73" t="str">
        <x:f>IF(A98="","",IF(K98="Yes",N98*((1-1/(1+I98+J98+Settings!$B$11))-(1-1/(1+I98+J98))),0))</x:f>
      </x:c>
      <x:c r="AE98" s="73" t="str">
        <x:f>IF(A98="","",IF(AC98&gt;0,AD98/AC98,0))</x:f>
      </x:c>
      <x:c r="AF98" s="73" t="str">
        <x:f>IF(A98="","",IF(D98=0,0,MAX(0,(P98+S98-T98)/(D98*(1-(Settings!$B$19+IF(F98="Sell Order",Settings!$B$13,0)))))))</x:f>
      </x:c>
      <x:c r="AG98" s="50" t="str">
        <x:f>IF(A98="","",IF(P98+S98=0,0,Y98/(P98+S98)))</x:f>
      </x:c>
      <x:c r="AH98" s="48" t="str">
        <x:f>IF(A98="","",IF(Y98&gt;0,"PROFIT",IF(Y98&lt;0,"LOSS","BREAK-EVEN")))</x:f>
      </x:c>
    </x:row>
    <x:row r="99">
      <x:c r="A99" s="42"/>
      <x:c r="B99" s="42"/>
      <x:c r="C99" s="42"/>
      <x:c r="D99" s="42"/>
      <x:c r="E99" s="42"/>
      <x:c r="F99" s="42"/>
      <x:c r="G99" s="42"/>
      <x:c r="H99" s="72"/>
      <x:c r="I99" s="76"/>
      <x:c r="J99" s="76"/>
      <x:c r="K99" s="42"/>
      <x:c r="L99" s="50" t="str">
        <x:f>IF(A99="","",I99+J99+IF(K99="Yes",Settings!$B$11,0))</x:f>
      </x:c>
      <x:c r="M99" s="50" t="str">
        <x:f>IF(A99="","",1-1/(1+L99))</x:f>
      </x:c>
      <x:c r="N99" s="73" t="str">
        <x:f>IF(A99="","",SUMIFS('Recipe Lines'!$N$5:$N$504,'Recipe Lines'!$A$5:$A$504,A99,'Recipe Lines'!$H$5:$H$504,"Yes"))</x:f>
      </x:c>
      <x:c r="O99" s="73" t="str">
        <x:f>IF(A99="","",SUMIFS('Recipe Lines'!$N$5:$N$504,'Recipe Lines'!$A$5:$A$504,A99,'Recipe Lines'!$H$5:$H$504,"No"))</x:f>
      </x:c>
      <x:c r="P99" s="73" t="str">
        <x:f>IF(A99="","",N99*(1-M99)+O99)</x:f>
      </x:c>
      <x:c r="Q99" s="46"/>
      <x:c r="R99" s="72"/>
      <x:c r="S99" s="73" t="str">
        <x:f>IF(A99="","",R99*0.1125*Q99)</x:f>
      </x:c>
      <x:c r="T99" s="72"/>
      <x:c r="U99" s="73" t="str">
        <x:f>IF(A99="","",IF(H99&gt;0,H99,IF(F99="Sell Order",SUMIFS('Market Data'!$E$5:$E$504,'Market Data'!$A$5:$A$504,E99,'Market Data'!$B$5:$B$504,B99,'Market Data'!$D$5:$D$504,G99),SUMIFS('Market Data'!$F$5:$F$504,'Market Data'!$A$5:$A$504,E99,'Market Data'!$B$5:$B$504,B99,'Market Data'!$D$5:$D$504,G99))))</x:f>
      </x:c>
      <x:c r="V99" s="73" t="str">
        <x:f>IF(A99="","",U99*D99)</x:f>
      </x:c>
      <x:c r="W99" s="73" t="str">
        <x:f>IF(A99="","",V99*(Settings!$B$19+IF(F99="Sell Order",Settings!$B$13,0)))</x:f>
      </x:c>
      <x:c r="X99" s="73" t="str">
        <x:f>IF(A99="","",V99-W99+T99)</x:f>
      </x:c>
      <x:c r="Y99" s="73" t="str">
        <x:f>IF(A99="","",X99-P99-S99)</x:f>
      </x:c>
      <x:c r="Z99" s="50" t="str">
        <x:f>IF(A99="","",IF(V99=0,0,Y99/V99))</x:f>
      </x:c>
      <x:c r="AA99" s="72"/>
      <x:c r="AB99" s="68"/>
      <x:c r="AC99" s="73" t="str">
        <x:f>IF(A99="","",IF(K99="Yes",AA99*POWER(0.5,AB99/10000),0))</x:f>
      </x:c>
      <x:c r="AD99" s="73" t="str">
        <x:f>IF(A99="","",IF(K99="Yes",N99*((1-1/(1+I99+J99+Settings!$B$11))-(1-1/(1+I99+J99))),0))</x:f>
      </x:c>
      <x:c r="AE99" s="73" t="str">
        <x:f>IF(A99="","",IF(AC99&gt;0,AD99/AC99,0))</x:f>
      </x:c>
      <x:c r="AF99" s="73" t="str">
        <x:f>IF(A99="","",IF(D99=0,0,MAX(0,(P99+S99-T99)/(D99*(1-(Settings!$B$19+IF(F99="Sell Order",Settings!$B$13,0)))))))</x:f>
      </x:c>
      <x:c r="AG99" s="50" t="str">
        <x:f>IF(A99="","",IF(P99+S99=0,0,Y99/(P99+S99)))</x:f>
      </x:c>
      <x:c r="AH99" s="48" t="str">
        <x:f>IF(A99="","",IF(Y99&gt;0,"PROFIT",IF(Y99&lt;0,"LOSS","BREAK-EVEN")))</x:f>
      </x:c>
    </x:row>
    <x:row r="100">
      <x:c r="A100" s="42"/>
      <x:c r="B100" s="42"/>
      <x:c r="C100" s="42"/>
      <x:c r="D100" s="42"/>
      <x:c r="E100" s="42"/>
      <x:c r="F100" s="42"/>
      <x:c r="G100" s="42"/>
      <x:c r="H100" s="72"/>
      <x:c r="I100" s="76"/>
      <x:c r="J100" s="76"/>
      <x:c r="K100" s="42"/>
      <x:c r="L100" s="50" t="str">
        <x:f>IF(A100="","",I100+J100+IF(K100="Yes",Settings!$B$11,0))</x:f>
      </x:c>
      <x:c r="M100" s="50" t="str">
        <x:f>IF(A100="","",1-1/(1+L100))</x:f>
      </x:c>
      <x:c r="N100" s="73" t="str">
        <x:f>IF(A100="","",SUMIFS('Recipe Lines'!$N$5:$N$504,'Recipe Lines'!$A$5:$A$504,A100,'Recipe Lines'!$H$5:$H$504,"Yes"))</x:f>
      </x:c>
      <x:c r="O100" s="73" t="str">
        <x:f>IF(A100="","",SUMIFS('Recipe Lines'!$N$5:$N$504,'Recipe Lines'!$A$5:$A$504,A100,'Recipe Lines'!$H$5:$H$504,"No"))</x:f>
      </x:c>
      <x:c r="P100" s="73" t="str">
        <x:f>IF(A100="","",N100*(1-M100)+O100)</x:f>
      </x:c>
      <x:c r="Q100" s="46"/>
      <x:c r="R100" s="72"/>
      <x:c r="S100" s="73" t="str">
        <x:f>IF(A100="","",R100*0.1125*Q100)</x:f>
      </x:c>
      <x:c r="T100" s="72"/>
      <x:c r="U100" s="73" t="str">
        <x:f>IF(A100="","",IF(H100&gt;0,H100,IF(F100="Sell Order",SUMIFS('Market Data'!$E$5:$E$504,'Market Data'!$A$5:$A$504,E100,'Market Data'!$B$5:$B$504,B100,'Market Data'!$D$5:$D$504,G100),SUMIFS('Market Data'!$F$5:$F$504,'Market Data'!$A$5:$A$504,E100,'Market Data'!$B$5:$B$504,B100,'Market Data'!$D$5:$D$504,G100))))</x:f>
      </x:c>
      <x:c r="V100" s="73" t="str">
        <x:f>IF(A100="","",U100*D100)</x:f>
      </x:c>
      <x:c r="W100" s="73" t="str">
        <x:f>IF(A100="","",V100*(Settings!$B$19+IF(F100="Sell Order",Settings!$B$13,0)))</x:f>
      </x:c>
      <x:c r="X100" s="73" t="str">
        <x:f>IF(A100="","",V100-W100+T100)</x:f>
      </x:c>
      <x:c r="Y100" s="73" t="str">
        <x:f>IF(A100="","",X100-P100-S100)</x:f>
      </x:c>
      <x:c r="Z100" s="50" t="str">
        <x:f>IF(A100="","",IF(V100=0,0,Y100/V100))</x:f>
      </x:c>
      <x:c r="AA100" s="72"/>
      <x:c r="AB100" s="68"/>
      <x:c r="AC100" s="73" t="str">
        <x:f>IF(A100="","",IF(K100="Yes",AA100*POWER(0.5,AB100/10000),0))</x:f>
      </x:c>
      <x:c r="AD100" s="73" t="str">
        <x:f>IF(A100="","",IF(K100="Yes",N100*((1-1/(1+I100+J100+Settings!$B$11))-(1-1/(1+I100+J100))),0))</x:f>
      </x:c>
      <x:c r="AE100" s="73" t="str">
        <x:f>IF(A100="","",IF(AC100&gt;0,AD100/AC100,0))</x:f>
      </x:c>
      <x:c r="AF100" s="73" t="str">
        <x:f>IF(A100="","",IF(D100=0,0,MAX(0,(P100+S100-T100)/(D100*(1-(Settings!$B$19+IF(F100="Sell Order",Settings!$B$13,0)))))))</x:f>
      </x:c>
      <x:c r="AG100" s="50" t="str">
        <x:f>IF(A100="","",IF(P100+S100=0,0,Y100/(P100+S100)))</x:f>
      </x:c>
      <x:c r="AH100" s="48" t="str">
        <x:f>IF(A100="","",IF(Y100&gt;0,"PROFIT",IF(Y100&lt;0,"LOSS","BREAK-EVEN")))</x:f>
      </x:c>
    </x:row>
    <x:row r="101">
      <x:c r="A101" s="42"/>
      <x:c r="B101" s="42"/>
      <x:c r="C101" s="42"/>
      <x:c r="D101" s="42"/>
      <x:c r="E101" s="42"/>
      <x:c r="F101" s="42"/>
      <x:c r="G101" s="42"/>
      <x:c r="H101" s="72"/>
      <x:c r="I101" s="76"/>
      <x:c r="J101" s="76"/>
      <x:c r="K101" s="42"/>
      <x:c r="L101" s="50" t="str">
        <x:f>IF(A101="","",I101+J101+IF(K101="Yes",Settings!$B$11,0))</x:f>
      </x:c>
      <x:c r="M101" s="50" t="str">
        <x:f>IF(A101="","",1-1/(1+L101))</x:f>
      </x:c>
      <x:c r="N101" s="73" t="str">
        <x:f>IF(A101="","",SUMIFS('Recipe Lines'!$N$5:$N$504,'Recipe Lines'!$A$5:$A$504,A101,'Recipe Lines'!$H$5:$H$504,"Yes"))</x:f>
      </x:c>
      <x:c r="O101" s="73" t="str">
        <x:f>IF(A101="","",SUMIFS('Recipe Lines'!$N$5:$N$504,'Recipe Lines'!$A$5:$A$504,A101,'Recipe Lines'!$H$5:$H$504,"No"))</x:f>
      </x:c>
      <x:c r="P101" s="73" t="str">
        <x:f>IF(A101="","",N101*(1-M101)+O101)</x:f>
      </x:c>
      <x:c r="Q101" s="46"/>
      <x:c r="R101" s="72"/>
      <x:c r="S101" s="73" t="str">
        <x:f>IF(A101="","",R101*0.1125*Q101)</x:f>
      </x:c>
      <x:c r="T101" s="72"/>
      <x:c r="U101" s="73" t="str">
        <x:f>IF(A101="","",IF(H101&gt;0,H101,IF(F101="Sell Order",SUMIFS('Market Data'!$E$5:$E$504,'Market Data'!$A$5:$A$504,E101,'Market Data'!$B$5:$B$504,B101,'Market Data'!$D$5:$D$504,G101),SUMIFS('Market Data'!$F$5:$F$504,'Market Data'!$A$5:$A$504,E101,'Market Data'!$B$5:$B$504,B101,'Market Data'!$D$5:$D$504,G101))))</x:f>
      </x:c>
      <x:c r="V101" s="73" t="str">
        <x:f>IF(A101="","",U101*D101)</x:f>
      </x:c>
      <x:c r="W101" s="73" t="str">
        <x:f>IF(A101="","",V101*(Settings!$B$19+IF(F101="Sell Order",Settings!$B$13,0)))</x:f>
      </x:c>
      <x:c r="X101" s="73" t="str">
        <x:f>IF(A101="","",V101-W101+T101)</x:f>
      </x:c>
      <x:c r="Y101" s="73" t="str">
        <x:f>IF(A101="","",X101-P101-S101)</x:f>
      </x:c>
      <x:c r="Z101" s="50" t="str">
        <x:f>IF(A101="","",IF(V101=0,0,Y101/V101))</x:f>
      </x:c>
      <x:c r="AA101" s="72"/>
      <x:c r="AB101" s="68"/>
      <x:c r="AC101" s="73" t="str">
        <x:f>IF(A101="","",IF(K101="Yes",AA101*POWER(0.5,AB101/10000),0))</x:f>
      </x:c>
      <x:c r="AD101" s="73" t="str">
        <x:f>IF(A101="","",IF(K101="Yes",N101*((1-1/(1+I101+J101+Settings!$B$11))-(1-1/(1+I101+J101))),0))</x:f>
      </x:c>
      <x:c r="AE101" s="73" t="str">
        <x:f>IF(A101="","",IF(AC101&gt;0,AD101/AC101,0))</x:f>
      </x:c>
      <x:c r="AF101" s="73" t="str">
        <x:f>IF(A101="","",IF(D101=0,0,MAX(0,(P101+S101-T101)/(D101*(1-(Settings!$B$19+IF(F101="Sell Order",Settings!$B$13,0)))))))</x:f>
      </x:c>
      <x:c r="AG101" s="50" t="str">
        <x:f>IF(A101="","",IF(P101+S101=0,0,Y101/(P101+S101)))</x:f>
      </x:c>
      <x:c r="AH101" s="48" t="str">
        <x:f>IF(A101="","",IF(Y101&gt;0,"PROFIT",IF(Y101&lt;0,"LOSS","BREAK-EVEN")))</x:f>
      </x:c>
    </x:row>
    <x:row r="102">
      <x:c r="A102" s="42"/>
      <x:c r="B102" s="42"/>
      <x:c r="C102" s="42"/>
      <x:c r="D102" s="42"/>
      <x:c r="E102" s="42"/>
      <x:c r="F102" s="42"/>
      <x:c r="G102" s="42"/>
      <x:c r="H102" s="72"/>
      <x:c r="I102" s="76"/>
      <x:c r="J102" s="76"/>
      <x:c r="K102" s="42"/>
      <x:c r="L102" s="50" t="str">
        <x:f>IF(A102="","",I102+J102+IF(K102="Yes",Settings!$B$11,0))</x:f>
      </x:c>
      <x:c r="M102" s="50" t="str">
        <x:f>IF(A102="","",1-1/(1+L102))</x:f>
      </x:c>
      <x:c r="N102" s="73" t="str">
        <x:f>IF(A102="","",SUMIFS('Recipe Lines'!$N$5:$N$504,'Recipe Lines'!$A$5:$A$504,A102,'Recipe Lines'!$H$5:$H$504,"Yes"))</x:f>
      </x:c>
      <x:c r="O102" s="73" t="str">
        <x:f>IF(A102="","",SUMIFS('Recipe Lines'!$N$5:$N$504,'Recipe Lines'!$A$5:$A$504,A102,'Recipe Lines'!$H$5:$H$504,"No"))</x:f>
      </x:c>
      <x:c r="P102" s="73" t="str">
        <x:f>IF(A102="","",N102*(1-M102)+O102)</x:f>
      </x:c>
      <x:c r="Q102" s="46"/>
      <x:c r="R102" s="72"/>
      <x:c r="S102" s="73" t="str">
        <x:f>IF(A102="","",R102*0.1125*Q102)</x:f>
      </x:c>
      <x:c r="T102" s="72"/>
      <x:c r="U102" s="73" t="str">
        <x:f>IF(A102="","",IF(H102&gt;0,H102,IF(F102="Sell Order",SUMIFS('Market Data'!$E$5:$E$504,'Market Data'!$A$5:$A$504,E102,'Market Data'!$B$5:$B$504,B102,'Market Data'!$D$5:$D$504,G102),SUMIFS('Market Data'!$F$5:$F$504,'Market Data'!$A$5:$A$504,E102,'Market Data'!$B$5:$B$504,B102,'Market Data'!$D$5:$D$504,G102))))</x:f>
      </x:c>
      <x:c r="V102" s="73" t="str">
        <x:f>IF(A102="","",U102*D102)</x:f>
      </x:c>
      <x:c r="W102" s="73" t="str">
        <x:f>IF(A102="","",V102*(Settings!$B$19+IF(F102="Sell Order",Settings!$B$13,0)))</x:f>
      </x:c>
      <x:c r="X102" s="73" t="str">
        <x:f>IF(A102="","",V102-W102+T102)</x:f>
      </x:c>
      <x:c r="Y102" s="73" t="str">
        <x:f>IF(A102="","",X102-P102-S102)</x:f>
      </x:c>
      <x:c r="Z102" s="50" t="str">
        <x:f>IF(A102="","",IF(V102=0,0,Y102/V102))</x:f>
      </x:c>
      <x:c r="AA102" s="72"/>
      <x:c r="AB102" s="68"/>
      <x:c r="AC102" s="73" t="str">
        <x:f>IF(A102="","",IF(K102="Yes",AA102*POWER(0.5,AB102/10000),0))</x:f>
      </x:c>
      <x:c r="AD102" s="73" t="str">
        <x:f>IF(A102="","",IF(K102="Yes",N102*((1-1/(1+I102+J102+Settings!$B$11))-(1-1/(1+I102+J102))),0))</x:f>
      </x:c>
      <x:c r="AE102" s="73" t="str">
        <x:f>IF(A102="","",IF(AC102&gt;0,AD102/AC102,0))</x:f>
      </x:c>
      <x:c r="AF102" s="73" t="str">
        <x:f>IF(A102="","",IF(D102=0,0,MAX(0,(P102+S102-T102)/(D102*(1-(Settings!$B$19+IF(F102="Sell Order",Settings!$B$13,0)))))))</x:f>
      </x:c>
      <x:c r="AG102" s="50" t="str">
        <x:f>IF(A102="","",IF(P102+S102=0,0,Y102/(P102+S102)))</x:f>
      </x:c>
      <x:c r="AH102" s="48" t="str">
        <x:f>IF(A102="","",IF(Y102&gt;0,"PROFIT",IF(Y102&lt;0,"LOSS","BREAK-EVEN")))</x:f>
      </x:c>
    </x:row>
    <x:row r="103">
      <x:c r="A103" s="42"/>
      <x:c r="B103" s="42"/>
      <x:c r="C103" s="42"/>
      <x:c r="D103" s="42"/>
      <x:c r="E103" s="42"/>
      <x:c r="F103" s="42"/>
      <x:c r="G103" s="42"/>
      <x:c r="H103" s="72"/>
      <x:c r="I103" s="76"/>
      <x:c r="J103" s="76"/>
      <x:c r="K103" s="42"/>
      <x:c r="L103" s="50" t="str">
        <x:f>IF(A103="","",I103+J103+IF(K103="Yes",Settings!$B$11,0))</x:f>
      </x:c>
      <x:c r="M103" s="50" t="str">
        <x:f>IF(A103="","",1-1/(1+L103))</x:f>
      </x:c>
      <x:c r="N103" s="73" t="str">
        <x:f>IF(A103="","",SUMIFS('Recipe Lines'!$N$5:$N$504,'Recipe Lines'!$A$5:$A$504,A103,'Recipe Lines'!$H$5:$H$504,"Yes"))</x:f>
      </x:c>
      <x:c r="O103" s="73" t="str">
        <x:f>IF(A103="","",SUMIFS('Recipe Lines'!$N$5:$N$504,'Recipe Lines'!$A$5:$A$504,A103,'Recipe Lines'!$H$5:$H$504,"No"))</x:f>
      </x:c>
      <x:c r="P103" s="73" t="str">
        <x:f>IF(A103="","",N103*(1-M103)+O103)</x:f>
      </x:c>
      <x:c r="Q103" s="46"/>
      <x:c r="R103" s="72"/>
      <x:c r="S103" s="73" t="str">
        <x:f>IF(A103="","",R103*0.1125*Q103)</x:f>
      </x:c>
      <x:c r="T103" s="72"/>
      <x:c r="U103" s="73" t="str">
        <x:f>IF(A103="","",IF(H103&gt;0,H103,IF(F103="Sell Order",SUMIFS('Market Data'!$E$5:$E$504,'Market Data'!$A$5:$A$504,E103,'Market Data'!$B$5:$B$504,B103,'Market Data'!$D$5:$D$504,G103),SUMIFS('Market Data'!$F$5:$F$504,'Market Data'!$A$5:$A$504,E103,'Market Data'!$B$5:$B$504,B103,'Market Data'!$D$5:$D$504,G103))))</x:f>
      </x:c>
      <x:c r="V103" s="73" t="str">
        <x:f>IF(A103="","",U103*D103)</x:f>
      </x:c>
      <x:c r="W103" s="73" t="str">
        <x:f>IF(A103="","",V103*(Settings!$B$19+IF(F103="Sell Order",Settings!$B$13,0)))</x:f>
      </x:c>
      <x:c r="X103" s="73" t="str">
        <x:f>IF(A103="","",V103-W103+T103)</x:f>
      </x:c>
      <x:c r="Y103" s="73" t="str">
        <x:f>IF(A103="","",X103-P103-S103)</x:f>
      </x:c>
      <x:c r="Z103" s="50" t="str">
        <x:f>IF(A103="","",IF(V103=0,0,Y103/V103))</x:f>
      </x:c>
      <x:c r="AA103" s="72"/>
      <x:c r="AB103" s="68"/>
      <x:c r="AC103" s="73" t="str">
        <x:f>IF(A103="","",IF(K103="Yes",AA103*POWER(0.5,AB103/10000),0))</x:f>
      </x:c>
      <x:c r="AD103" s="73" t="str">
        <x:f>IF(A103="","",IF(K103="Yes",N103*((1-1/(1+I103+J103+Settings!$B$11))-(1-1/(1+I103+J103))),0))</x:f>
      </x:c>
      <x:c r="AE103" s="73" t="str">
        <x:f>IF(A103="","",IF(AC103&gt;0,AD103/AC103,0))</x:f>
      </x:c>
      <x:c r="AF103" s="73" t="str">
        <x:f>IF(A103="","",IF(D103=0,0,MAX(0,(P103+S103-T103)/(D103*(1-(Settings!$B$19+IF(F103="Sell Order",Settings!$B$13,0)))))))</x:f>
      </x:c>
      <x:c r="AG103" s="50" t="str">
        <x:f>IF(A103="","",IF(P103+S103=0,0,Y103/(P103+S103)))</x:f>
      </x:c>
      <x:c r="AH103" s="48" t="str">
        <x:f>IF(A103="","",IF(Y103&gt;0,"PROFIT",IF(Y103&lt;0,"LOSS","BREAK-EVEN")))</x:f>
      </x:c>
    </x:row>
    <x:row r="104">
      <x:c r="A104" s="42"/>
      <x:c r="B104" s="42"/>
      <x:c r="C104" s="42"/>
      <x:c r="D104" s="42"/>
      <x:c r="E104" s="42"/>
      <x:c r="F104" s="42"/>
      <x:c r="G104" s="42"/>
      <x:c r="H104" s="72"/>
      <x:c r="I104" s="76"/>
      <x:c r="J104" s="76"/>
      <x:c r="K104" s="42"/>
      <x:c r="L104" s="50" t="str">
        <x:f>IF(A104="","",I104+J104+IF(K104="Yes",Settings!$B$11,0))</x:f>
      </x:c>
      <x:c r="M104" s="50" t="str">
        <x:f>IF(A104="","",1-1/(1+L104))</x:f>
      </x:c>
      <x:c r="N104" s="73" t="str">
        <x:f>IF(A104="","",SUMIFS('Recipe Lines'!$N$5:$N$504,'Recipe Lines'!$A$5:$A$504,A104,'Recipe Lines'!$H$5:$H$504,"Yes"))</x:f>
      </x:c>
      <x:c r="O104" s="73" t="str">
        <x:f>IF(A104="","",SUMIFS('Recipe Lines'!$N$5:$N$504,'Recipe Lines'!$A$5:$A$504,A104,'Recipe Lines'!$H$5:$H$504,"No"))</x:f>
      </x:c>
      <x:c r="P104" s="73" t="str">
        <x:f>IF(A104="","",N104*(1-M104)+O104)</x:f>
      </x:c>
      <x:c r="Q104" s="46"/>
      <x:c r="R104" s="72"/>
      <x:c r="S104" s="73" t="str">
        <x:f>IF(A104="","",R104*0.1125*Q104)</x:f>
      </x:c>
      <x:c r="T104" s="72"/>
      <x:c r="U104" s="73" t="str">
        <x:f>IF(A104="","",IF(H104&gt;0,H104,IF(F104="Sell Order",SUMIFS('Market Data'!$E$5:$E$504,'Market Data'!$A$5:$A$504,E104,'Market Data'!$B$5:$B$504,B104,'Market Data'!$D$5:$D$504,G104),SUMIFS('Market Data'!$F$5:$F$504,'Market Data'!$A$5:$A$504,E104,'Market Data'!$B$5:$B$504,B104,'Market Data'!$D$5:$D$504,G104))))</x:f>
      </x:c>
      <x:c r="V104" s="73" t="str">
        <x:f>IF(A104="","",U104*D104)</x:f>
      </x:c>
      <x:c r="W104" s="73" t="str">
        <x:f>IF(A104="","",V104*(Settings!$B$19+IF(F104="Sell Order",Settings!$B$13,0)))</x:f>
      </x:c>
      <x:c r="X104" s="73" t="str">
        <x:f>IF(A104="","",V104-W104+T104)</x:f>
      </x:c>
      <x:c r="Y104" s="73" t="str">
        <x:f>IF(A104="","",X104-P104-S104)</x:f>
      </x:c>
      <x:c r="Z104" s="50" t="str">
        <x:f>IF(A104="","",IF(V104=0,0,Y104/V104))</x:f>
      </x:c>
      <x:c r="AA104" s="72"/>
      <x:c r="AB104" s="68"/>
      <x:c r="AC104" s="73" t="str">
        <x:f>IF(A104="","",IF(K104="Yes",AA104*POWER(0.5,AB104/10000),0))</x:f>
      </x:c>
      <x:c r="AD104" s="73" t="str">
        <x:f>IF(A104="","",IF(K104="Yes",N104*((1-1/(1+I104+J104+Settings!$B$11))-(1-1/(1+I104+J104))),0))</x:f>
      </x:c>
      <x:c r="AE104" s="73" t="str">
        <x:f>IF(A104="","",IF(AC104&gt;0,AD104/AC104,0))</x:f>
      </x:c>
      <x:c r="AF104" s="73" t="str">
        <x:f>IF(A104="","",IF(D104=0,0,MAX(0,(P104+S104-T104)/(D104*(1-(Settings!$B$19+IF(F104="Sell Order",Settings!$B$13,0)))))))</x:f>
      </x:c>
      <x:c r="AG104" s="50" t="str">
        <x:f>IF(A104="","",IF(P104+S104=0,0,Y104/(P104+S104)))</x:f>
      </x:c>
      <x:c r="AH104" s="48" t="str">
        <x:f>IF(A104="","",IF(Y104&gt;0,"PROFIT",IF(Y104&lt;0,"LOSS","BREAK-EVEN")))</x:f>
      </x:c>
    </x:row>
  </x:sheetData>
  <x:mergeCells>
    <x:mergeCell ref="A1:AH1"/>
    <x:mergeCell ref="A2:AH2"/>
  </x:mergeCells>
  <x:conditionalFormatting sqref="Y5:Y104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AH5:AH104">
    <x:cfRule type="expression" dxfId="2" priority="3">
      <x:formula>AH5="PROFIT"</x:formula>
    </x:cfRule>
    <x:cfRule type="expression" dxfId="3" priority="4">
      <x:formula>AH5="LOSS"</x:formula>
    </x:cfRule>
  </x:conditionalFormatting>
  <x:dataValidations count="3">
    <x:dataValidation type="list" sqref="F5:F104">
      <x:formula1>"Sell Order,Instant Sell"</x:formula1>
    </x:dataValidation>
    <x:dataValidation type="list" sqref="G5:G104">
      <x:formula1>"1,2,3,4,5"</x:formula1>
    </x:dataValidation>
    <x:dataValidation type="list" sqref="K5:K104">
      <x:formula1>"Yes,No"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52" hidden="0" customWidth="1"/>
  </x:cols>
  <x:sheetData>
    <x:row r="1">
      <x:c r="A1" s="5" t="str">
        <x:v>Sources / Public Mechanics</x:v>
      </x:c>
      <x:c r="B1" s="5"/>
      <x:c r="C1" s="5"/>
    </x:row>
    <x:row r="3">
      <x:c r="A3" s="36" t="str">
        <x:v>Topic</x:v>
      </x:c>
      <x:c r="B3" s="36" t="str">
        <x:v>URL</x:v>
      </x:c>
      <x:c r="C3" s="36" t="str">
        <x:v>Used for</x:v>
      </x:c>
    </x:row>
    <x:row r="4">
      <x:c r="A4" s="20" t="str">
        <x:v>Albion Online Data Project API</x:v>
      </x:c>
      <x:c r="B4" s="20" t="str">
        <x:v>https://www.albion-online-data.com/api/</x:v>
      </x:c>
      <x:c r="C4" s="20" t="str">
        <x:v>Market price API / spreadsheet integration</x:v>
      </x:c>
    </x:row>
    <x:row r="5">
      <x:c r="A5" s="20" t="str">
        <x:v>Resource Return Rate</x:v>
      </x:c>
      <x:c r="B5" s="20" t="str">
        <x:v>https://wiki.albiononline.com/wiki/Resource_return_rate</x:v>
      </x:c>
      <x:c r="C5" s="20" t="str">
        <x:v>Production bonus → RRR formula; city/focus bonuses</x:v>
      </x:c>
    </x:row>
    <x:row r="6">
      <x:c r="A6" s="20" t="str">
        <x:v>Crafting Focus</x:v>
      </x:c>
      <x:c r="B6" s="20" t="str">
        <x:v>https://wiki.albiononline.com/wiki/Crafting_Focus</x:v>
      </x:c>
      <x:c r="C6" s="20" t="str">
        <x:v>10k/day focus, 30k cap, focus cost efficiency</x:v>
      </x:c>
    </x:row>
    <x:row r="7">
      <x:c r="A7" s="20" t="str">
        <x:v>Building usage fee</x:v>
      </x:c>
      <x:c r="B7" s="20" t="str">
        <x:v>https://wiki.albiononline.com/wiki/Building</x:v>
      </x:c>
      <x:c r="C7" s="20" t="str">
        <x:v>Station usage fee formula</x:v>
      </x:c>
    </x:row>
    <x:row r="8">
      <x:c r="A8" s="20" t="str">
        <x:v>Marketplace fees</x:v>
      </x:c>
      <x:c r="B8" s="20" t="str">
        <x:v>https://wiki.albiononline.com/wiki/Marketplace</x:v>
      </x:c>
      <x:c r="C8" s="20" t="str">
        <x:v>2.5% setup fee; 4% Premium / 8% non-Premium transaction tax</x:v>
      </x:c>
    </x:row>
    <x:row r="9">
      <x:c r="A9" s="20" t="str">
        <x:v>Item Value</x:v>
      </x:c>
      <x:c r="B9" s="20" t="str">
        <x:v>https://wiki.albiononline.com/wiki/Item_Value</x:v>
      </x:c>
      <x:c r="C9" s="20" t="str">
        <x:v>Reference for gear item value calculations</x:v>
      </x:c>
    </x:row>
  </x:sheetData>
  <x:mergeCells>
    <x:mergeCell ref="A1:C1"/>
  </x:mergeCells>
  <x:pageMargins left="0.7" right="0.7" top="0.75" bottom="0.75" header="0.3" footer="0.3"/>
</x:worksheet>
</file>